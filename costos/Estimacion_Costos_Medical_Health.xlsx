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Supuestos" sheetId="2" state="visible" r:id="rId2"/>
    <sheet xmlns:r="http://schemas.openxmlformats.org/officeDocument/2006/relationships" name="Azure" sheetId="3" state="visible" r:id="rId3"/>
    <sheet xmlns:r="http://schemas.openxmlformats.org/officeDocument/2006/relationships" name="AWS" sheetId="4" state="visible" r:id="rId4"/>
    <sheet xmlns:r="http://schemas.openxmlformats.org/officeDocument/2006/relationships" name="Optimización" sheetId="5" state="visible" r:id="rId5"/>
    <sheet xmlns:r="http://schemas.openxmlformats.org/officeDocument/2006/relationships" name="Comparación" sheetId="6" state="visible" r:id="rId6"/>
    <sheet xmlns:r="http://schemas.openxmlformats.org/officeDocument/2006/relationships" name="Referencias" sheetId="7" state="visible" r:id="rId7"/>
  </sheets>
  <definedNames>
    <definedName name="_xlnm._FilterDatabase" localSheetId="2" hidden="1">'Azure'!$A$3:$L$53</definedName>
    <definedName name="_xlnm._FilterDatabase" localSheetId="3" hidden="1">'AWS'!$A$3:$L$55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##"/>
    <numFmt numFmtId="165" formatCode="&quot;$&quot;#,##0.00####"/>
    <numFmt numFmtId="166" formatCode="&quot;$&quot;#,##0.00"/>
    <numFmt numFmtId="167" formatCode="&quot;$&quot; #,##0"/>
    <numFmt numFmtId="168" formatCode="0.0%"/>
  </numFmts>
  <fonts count="10">
    <font>
      <name val="Calibri"/>
      <family val="2"/>
      <color theme="1"/>
      <sz val="11"/>
      <scheme val="minor"/>
    </font>
    <font>
      <b val="1"/>
      <color rgb="000B3C5D"/>
      <sz val="16"/>
    </font>
    <font>
      <i val="1"/>
      <color rgb="00595959"/>
      <sz val="10"/>
    </font>
    <font>
      <name val="Calibri"/>
      <b val="1"/>
      <color rgb="00FFFFFF"/>
      <sz val="11"/>
    </font>
    <font>
      <color rgb="000563C1"/>
      <sz val="9"/>
      <u val="single"/>
    </font>
    <font>
      <b val="1"/>
      <color rgb="00FFFFFF"/>
    </font>
    <font>
      <b val="1"/>
      <color rgb="000B3C5D"/>
      <sz val="12"/>
    </font>
    <font>
      <b val="1"/>
    </font>
    <font>
      <color rgb="000563C1"/>
      <u val="single"/>
    </font>
    <font>
      <b val="1"/>
      <color rgb="000B3C5D"/>
    </font>
  </fonts>
  <fills count="9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FFF2CC"/>
      </patternFill>
    </fill>
    <fill>
      <patternFill patternType="solid">
        <fgColor rgb="00EAF2FB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1168BD"/>
      </patternFill>
    </fill>
    <fill>
      <patternFill patternType="solid">
        <fgColor rgb="00107C10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7" fontId="0" fillId="0" borderId="1" pivotButton="0" quotePrefix="0" xfId="0"/>
    <xf numFmtId="168" fontId="0" fillId="0" borderId="1" pivotButton="0" quotePrefix="0" xfId="0"/>
    <xf numFmtId="0" fontId="5" fillId="2" borderId="1" pivotButton="0" quotePrefix="0" xfId="0"/>
    <xf numFmtId="167" fontId="5" fillId="2" borderId="1" pivotButton="0" quotePrefix="0" xfId="0"/>
    <xf numFmtId="168" fontId="5" fillId="2" borderId="1" pivotButton="0" quotePrefix="0" xfId="0"/>
    <xf numFmtId="0" fontId="6" fillId="0" borderId="0" pivotButton="0" quotePrefix="0" xfId="0"/>
    <xf numFmtId="167" fontId="7" fillId="0" borderId="1" pivotButton="0" quotePrefix="0" xfId="0"/>
    <xf numFmtId="166" fontId="7" fillId="0" borderId="1" pivotButton="0" quotePrefix="0" xfId="0"/>
    <xf numFmtId="168" fontId="7" fillId="0" borderId="1" pivotButton="0" quotePrefix="0" xfId="0"/>
    <xf numFmtId="164" fontId="0" fillId="3" borderId="1" pivotButton="0" quotePrefix="0" xfId="0"/>
    <xf numFmtId="9" fontId="0" fillId="3" borderId="1" pivotButton="0" quotePrefix="0" xfId="0"/>
    <xf numFmtId="0" fontId="0" fillId="4" borderId="1" applyAlignment="1" pivotButton="0" quotePrefix="0" xfId="0">
      <alignment vertical="center"/>
    </xf>
    <xf numFmtId="0" fontId="0" fillId="4" borderId="1" applyAlignment="1" pivotButton="0" quotePrefix="0" xfId="0">
      <alignment vertical="center" wrapText="1"/>
    </xf>
    <xf numFmtId="164" fontId="0" fillId="4" borderId="1" applyAlignment="1" pivotButton="0" quotePrefix="0" xfId="0">
      <alignment vertical="center"/>
    </xf>
    <xf numFmtId="165" fontId="0" fillId="4" borderId="1" applyAlignment="1" pivotButton="0" quotePrefix="0" xfId="0">
      <alignment vertical="center"/>
    </xf>
    <xf numFmtId="166" fontId="0" fillId="4" borderId="1" applyAlignment="1" pivotButton="0" quotePrefix="0" xfId="0">
      <alignment vertical="center"/>
    </xf>
    <xf numFmtId="167" fontId="0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0" fillId="5" borderId="1" applyAlignment="1" pivotButton="0" quotePrefix="0" xfId="0">
      <alignment vertical="center" wrapText="1"/>
    </xf>
    <xf numFmtId="164" fontId="0" fillId="5" borderId="1" applyAlignment="1" pivotButton="0" quotePrefix="0" xfId="0">
      <alignment vertical="center"/>
    </xf>
    <xf numFmtId="165" fontId="0" fillId="5" borderId="1" applyAlignment="1" pivotButton="0" quotePrefix="0" xfId="0">
      <alignment vertical="center"/>
    </xf>
    <xf numFmtId="166" fontId="0" fillId="5" borderId="1" applyAlignment="1" pivotButton="0" quotePrefix="0" xfId="0">
      <alignment vertical="center"/>
    </xf>
    <xf numFmtId="167" fontId="0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6" borderId="1" applyAlignment="1" pivotButton="0" quotePrefix="0" xfId="0">
      <alignment vertical="center" wrapText="1"/>
    </xf>
    <xf numFmtId="164" fontId="0" fillId="6" borderId="1" applyAlignment="1" pivotButton="0" quotePrefix="0" xfId="0">
      <alignment vertical="center"/>
    </xf>
    <xf numFmtId="165" fontId="0" fillId="6" borderId="1" applyAlignment="1" pivotButton="0" quotePrefix="0" xfId="0">
      <alignment vertical="center"/>
    </xf>
    <xf numFmtId="166" fontId="0" fillId="6" borderId="1" applyAlignment="1" pivotButton="0" quotePrefix="0" xfId="0">
      <alignment vertical="center"/>
    </xf>
    <xf numFmtId="167" fontId="0" fillId="6" borderId="1" applyAlignment="1" pivotButton="0" quotePrefix="0" xfId="0">
      <alignment vertical="center"/>
    </xf>
    <xf numFmtId="0" fontId="4" fillId="6" borderId="1" applyAlignment="1" pivotButton="0" quotePrefix="0" xfId="0">
      <alignment vertical="center"/>
    </xf>
    <xf numFmtId="0" fontId="5" fillId="7" borderId="1" pivotButton="0" quotePrefix="0" xfId="0"/>
    <xf numFmtId="166" fontId="5" fillId="7" borderId="1" pivotButton="0" quotePrefix="0" xfId="0"/>
    <xf numFmtId="167" fontId="5" fillId="7" borderId="1" pivotButton="0" quotePrefix="0" xfId="0"/>
    <xf numFmtId="0" fontId="0" fillId="0" borderId="1" applyAlignment="1" pivotButton="0" quotePrefix="0" xfId="0">
      <alignment vertical="center" wrapText="1"/>
    </xf>
    <xf numFmtId="0" fontId="5" fillId="8" borderId="1" pivotButton="0" quotePrefix="0" xfId="0"/>
    <xf numFmtId="168" fontId="5" fillId="8" borderId="1" pivotButton="0" quotePrefix="0" xfId="0"/>
    <xf numFmtId="9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2" fontId="0" fillId="0" borderId="1" applyAlignment="1" pivotButton="0" quotePrefix="0" xfId="0">
      <alignment vertical="center"/>
    </xf>
    <xf numFmtId="9" fontId="5" fillId="2" borderId="1" pivotButton="0" quotePrefix="0" xfId="0"/>
    <xf numFmtId="2" fontId="5" fillId="2" borderId="1" pivotButton="0" quotePrefix="0" xfId="0"/>
    <xf numFmtId="0" fontId="0" fillId="0" borderId="4" pivotButton="0" quotePrefix="0" xfId="0"/>
    <xf numFmtId="0" fontId="8" fillId="0" borderId="1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Costo mensual por categoría (COP)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'Resumen'!B4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'Resumen'!$A$5:$A$11</f>
            </numRef>
          </cat>
          <val>
            <numRef>
              <f>'Resumen'!$B$5:$B$11</f>
            </numRef>
          </val>
        </ser>
        <ser>
          <idx val="1"/>
          <order val="1"/>
          <tx>
            <strRef>
              <f>'Resumen'!C4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'Resumen'!$A$5:$A$11</f>
            </numRef>
          </cat>
          <val>
            <numRef>
              <f>'Resumen'!$C$5:$C$11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COP / mes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24</row>
      <rowOff>0</rowOff>
    </from>
    <ext cx="79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azure.microsoft.com/es-es/pricing/details/kubernetes-service/" TargetMode="External" Id="rId1"/><Relationship Type="http://schemas.openxmlformats.org/officeDocument/2006/relationships/hyperlink" Target="https://azure.microsoft.com/es-es/pricing/details/virtual-machines/linux/" TargetMode="External" Id="rId2"/><Relationship Type="http://schemas.openxmlformats.org/officeDocument/2006/relationships/hyperlink" Target="https://azure.microsoft.com/es-es/pricing/details/virtual-machines/linux/" TargetMode="External" Id="rId3"/><Relationship Type="http://schemas.openxmlformats.org/officeDocument/2006/relationships/hyperlink" Target="https://azure.microsoft.com/es-es/pricing/details/managed-disks/" TargetMode="External" Id="rId4"/><Relationship Type="http://schemas.openxmlformats.org/officeDocument/2006/relationships/hyperlink" Target="https://azure.microsoft.com/es-es/pricing/details/container-registry/" TargetMode="External" Id="rId5"/><Relationship Type="http://schemas.openxmlformats.org/officeDocument/2006/relationships/hyperlink" Target="https://azure.microsoft.com/es-es/pricing/details/postgresql/flexible-server/" TargetMode="External" Id="rId6"/><Relationship Type="http://schemas.openxmlformats.org/officeDocument/2006/relationships/hyperlink" Target="https://azure.microsoft.com/es-es/pricing/details/postgresql/flexible-server/" TargetMode="External" Id="rId7"/><Relationship Type="http://schemas.openxmlformats.org/officeDocument/2006/relationships/hyperlink" Target="https://learn.microsoft.com/azure/postgresql/flexible-server/concepts-read-replicas" TargetMode="External" Id="rId8"/><Relationship Type="http://schemas.openxmlformats.org/officeDocument/2006/relationships/hyperlink" Target="https://azure.microsoft.com/es-es/pricing/details/postgresql/flexible-server/" TargetMode="External" Id="rId9"/><Relationship Type="http://schemas.openxmlformats.org/officeDocument/2006/relationships/hyperlink" Target="https://azure.microsoft.com/es-es/pricing/details/cache/" TargetMode="External" Id="rId10"/><Relationship Type="http://schemas.openxmlformats.org/officeDocument/2006/relationships/hyperlink" Target="https://azure.microsoft.com/es-es/pricing/details/storage/blobs/" TargetMode="External" Id="rId11"/><Relationship Type="http://schemas.openxmlformats.org/officeDocument/2006/relationships/hyperlink" Target="https://azure.microsoft.com/es-es/pricing/details/storage/blobs/" TargetMode="External" Id="rId12"/><Relationship Type="http://schemas.openxmlformats.org/officeDocument/2006/relationships/hyperlink" Target="https://azure.microsoft.com/es-es/pricing/details/health-data-services/" TargetMode="External" Id="rId13"/><Relationship Type="http://schemas.openxmlformats.org/officeDocument/2006/relationships/hyperlink" Target="https://azure.microsoft.com/es-es/pricing/details/health-data-services/" TargetMode="External" Id="rId14"/><Relationship Type="http://schemas.openxmlformats.org/officeDocument/2006/relationships/hyperlink" Target="https://azure.microsoft.com/es-es/pricing/details/frontdoor/" TargetMode="External" Id="rId15"/><Relationship Type="http://schemas.openxmlformats.org/officeDocument/2006/relationships/hyperlink" Target="https://azure.microsoft.com/es-es/pricing/details/frontdoor/" TargetMode="External" Id="rId16"/><Relationship Type="http://schemas.openxmlformats.org/officeDocument/2006/relationships/hyperlink" Target="https://azure.microsoft.com/es-es/pricing/details/frontdoor/" TargetMode="External" Id="rId17"/><Relationship Type="http://schemas.openxmlformats.org/officeDocument/2006/relationships/hyperlink" Target="https://azure.microsoft.com/es-es/pricing/details/api-management/" TargetMode="External" Id="rId18"/><Relationship Type="http://schemas.openxmlformats.org/officeDocument/2006/relationships/hyperlink" Target="https://azure.microsoft.com/es-es/pricing/details/api-management/" TargetMode="External" Id="rId19"/><Relationship Type="http://schemas.openxmlformats.org/officeDocument/2006/relationships/hyperlink" Target="https://azure.microsoft.com/es-es/pricing/details/private-link/" TargetMode="External" Id="rId20"/><Relationship Type="http://schemas.openxmlformats.org/officeDocument/2006/relationships/hyperlink" Target="https://azure.microsoft.com/es-es/pricing/details/private-link/" TargetMode="External" Id="rId21"/><Relationship Type="http://schemas.openxmlformats.org/officeDocument/2006/relationships/hyperlink" Target="https://azure.microsoft.com/es-es/pricing/details/bandwidth/" TargetMode="External" Id="rId22"/><Relationship Type="http://schemas.openxmlformats.org/officeDocument/2006/relationships/hyperlink" Target="https://azure.microsoft.com/es-es/pricing/details/dns/" TargetMode="External" Id="rId23"/><Relationship Type="http://schemas.openxmlformats.org/officeDocument/2006/relationships/hyperlink" Target="https://www.microsoft.com/es-es/security/business/microsoft-entra-pricing" TargetMode="External" Id="rId24"/><Relationship Type="http://schemas.openxmlformats.org/officeDocument/2006/relationships/hyperlink" Target="https://azure.microsoft.com/es-es/pricing/details/key-vault/" TargetMode="External" Id="rId25"/><Relationship Type="http://schemas.openxmlformats.org/officeDocument/2006/relationships/hyperlink" Target="https://azure.microsoft.com/es-es/pricing/details/defender-for-cloud/" TargetMode="External" Id="rId26"/><Relationship Type="http://schemas.openxmlformats.org/officeDocument/2006/relationships/hyperlink" Target="https://azure.microsoft.com/es-es/pricing/details/defender-for-cloud/" TargetMode="External" Id="rId27"/><Relationship Type="http://schemas.openxmlformats.org/officeDocument/2006/relationships/hyperlink" Target="https://learn.microsoft.com/azure/frontdoor/domain" TargetMode="External" Id="rId28"/><Relationship Type="http://schemas.openxmlformats.org/officeDocument/2006/relationships/hyperlink" Target="https://azure.microsoft.com/es-es/pricing/details/monitor/" TargetMode="External" Id="rId29"/><Relationship Type="http://schemas.openxmlformats.org/officeDocument/2006/relationships/hyperlink" Target="https://azure.microsoft.com/es-es/pricing/details/monitor/" TargetMode="External" Id="rId30"/><Relationship Type="http://schemas.openxmlformats.org/officeDocument/2006/relationships/hyperlink" Target="https://azure.microsoft.com/es-es/pricing/details/managed-grafana/" TargetMode="External" Id="rId31"/><Relationship Type="http://schemas.openxmlformats.org/officeDocument/2006/relationships/hyperlink" Target="https://azure.microsoft.com/es-es/pricing/details/managed-grafana/" TargetMode="External" Id="rId32"/><Relationship Type="http://schemas.openxmlformats.org/officeDocument/2006/relationships/hyperlink" Target="https://azure.microsoft.com/es-es/pricing/details/monitor/" TargetMode="External" Id="rId33"/><Relationship Type="http://schemas.openxmlformats.org/officeDocument/2006/relationships/hyperlink" Target="https://azure.microsoft.com/es-es/pricing/details/monitor/" TargetMode="External" Id="rId34"/><Relationship Type="http://schemas.openxmlformats.org/officeDocument/2006/relationships/hyperlink" Target="https://azure.microsoft.com/es-es/pricing/details/service-bus/" TargetMode="External" Id="rId35"/><Relationship Type="http://schemas.openxmlformats.org/officeDocument/2006/relationships/hyperlink" Target="https://azure.microsoft.com/es-es/pricing/details/cognitive-services/openai-service/" TargetMode="External" Id="rId36"/><Relationship Type="http://schemas.openxmlformats.org/officeDocument/2006/relationships/hyperlink" Target="https://azure.microsoft.com/es-es/pricing/details/cognitive-services/openai-service/" TargetMode="External" Id="rId37"/><Relationship Type="http://schemas.openxmlformats.org/officeDocument/2006/relationships/hyperlink" Target="https://azure.microsoft.com/es-es/pricing/details/azure-maps/" TargetMode="External" Id="rId38"/><Relationship Type="http://schemas.openxmlformats.org/officeDocument/2006/relationships/hyperlink" Target="https://azure.microsoft.com/es-es/pricing/details/azure-maps/" TargetMode="External" Id="rId39"/><Relationship Type="http://schemas.openxmlformats.org/officeDocument/2006/relationships/hyperlink" Target="https://learn.microsoft.com/azure/communication-services/concepts/sms-pricing" TargetMode="External" Id="rId40"/><Relationship Type="http://schemas.openxmlformats.org/officeDocument/2006/relationships/hyperlink" Target="https://learn.microsoft.com/azure/communication-services/concepts/pricing" TargetMode="External" Id="rId41"/><Relationship Type="http://schemas.openxmlformats.org/officeDocument/2006/relationships/hyperlink" Target="https://azure.microsoft.com/es-es/pricing/details/communication-services/" TargetMode="External" Id="rId42"/><Relationship Type="http://schemas.openxmlformats.org/officeDocument/2006/relationships/hyperlink" Target="https://learn.microsoft.com/azure/communication-services/concepts/numbers/number-types" TargetMode="External" Id="rId43"/><Relationship Type="http://schemas.openxmlformats.org/officeDocument/2006/relationships/hyperlink" Target="https://azure.microsoft.com/es-es/pricing/details/virtual-machines/linux/" TargetMode="External" Id="rId44"/><Relationship Type="http://schemas.openxmlformats.org/officeDocument/2006/relationships/hyperlink" Target="https://azure.microsoft.com/es-es/pricing/details/postgresql/flexible-server/" TargetMode="External" Id="rId45"/><Relationship Type="http://schemas.openxmlformats.org/officeDocument/2006/relationships/hyperlink" Target="https://azure.microsoft.com/es-es/pricing/details/postgresql/flexible-server/" TargetMode="External" Id="rId46"/><Relationship Type="http://schemas.openxmlformats.org/officeDocument/2006/relationships/hyperlink" Target="https://azure.microsoft.com/es-es/pricing/details/api-management/" TargetMode="External" Id="rId47"/><Relationship Type="http://schemas.openxmlformats.org/officeDocument/2006/relationships/hyperlink" Target="https://azure.microsoft.com/es-es/pricing/details/cache/" TargetMode="External" Id="rId48"/><Relationship Type="http://schemas.openxmlformats.org/officeDocument/2006/relationships/hyperlink" Target="https://azure.microsoft.com/es-es/pricing/details/service-bus/" TargetMode="External" Id="rId49"/><Relationship Type="http://schemas.openxmlformats.org/officeDocument/2006/relationships/hyperlink" Target="https://azure.microsoft.com/es-es/pricing/details/monitor/" TargetMode="External" Id="rId50"/></Relationships>
</file>

<file path=xl/worksheets/_rels/sheet4.xml.rels><Relationships xmlns="http://schemas.openxmlformats.org/package/2006/relationships"><Relationship Type="http://schemas.openxmlformats.org/officeDocument/2006/relationships/hyperlink" Target="https://aws.amazon.com/eks/pricing/" TargetMode="External" Id="rId1"/><Relationship Type="http://schemas.openxmlformats.org/officeDocument/2006/relationships/hyperlink" Target="https://aws.amazon.com/ec2/pricing/on-demand/" TargetMode="External" Id="rId2"/><Relationship Type="http://schemas.openxmlformats.org/officeDocument/2006/relationships/hyperlink" Target="https://aws.amazon.com/ec2/pricing/on-demand/" TargetMode="External" Id="rId3"/><Relationship Type="http://schemas.openxmlformats.org/officeDocument/2006/relationships/hyperlink" Target="https://aws.amazon.com/ebs/pricing/" TargetMode="External" Id="rId4"/><Relationship Type="http://schemas.openxmlformats.org/officeDocument/2006/relationships/hyperlink" Target="https://aws.amazon.com/ecr/pricing/" TargetMode="External" Id="rId5"/><Relationship Type="http://schemas.openxmlformats.org/officeDocument/2006/relationships/hyperlink" Target="https://aws.amazon.com/rds/postgresql/pricing/" TargetMode="External" Id="rId6"/><Relationship Type="http://schemas.openxmlformats.org/officeDocument/2006/relationships/hyperlink" Target="https://aws.amazon.com/rds/postgresql/pricing/" TargetMode="External" Id="rId7"/><Relationship Type="http://schemas.openxmlformats.org/officeDocument/2006/relationships/hyperlink" Target="https://aws.amazon.com/rds/postgresql/pricing/" TargetMode="External" Id="rId8"/><Relationship Type="http://schemas.openxmlformats.org/officeDocument/2006/relationships/hyperlink" Target="https://aws.amazon.com/rds/postgresql/pricing/" TargetMode="External" Id="rId9"/><Relationship Type="http://schemas.openxmlformats.org/officeDocument/2006/relationships/hyperlink" Target="https://aws.amazon.com/elasticache/pricing/" TargetMode="External" Id="rId10"/><Relationship Type="http://schemas.openxmlformats.org/officeDocument/2006/relationships/hyperlink" Target="https://aws.amazon.com/s3/pricing/" TargetMode="External" Id="rId11"/><Relationship Type="http://schemas.openxmlformats.org/officeDocument/2006/relationships/hyperlink" Target="https://aws.amazon.com/s3/pricing/" TargetMode="External" Id="rId12"/><Relationship Type="http://schemas.openxmlformats.org/officeDocument/2006/relationships/hyperlink" Target="https://aws.amazon.com/healthlake/pricing/" TargetMode="External" Id="rId13"/><Relationship Type="http://schemas.openxmlformats.org/officeDocument/2006/relationships/hyperlink" Target="https://aws.amazon.com/healthlake/pricing/" TargetMode="External" Id="rId14"/><Relationship Type="http://schemas.openxmlformats.org/officeDocument/2006/relationships/hyperlink" Target="https://aws.amazon.com/cloudfront/pricing/" TargetMode="External" Id="rId15"/><Relationship Type="http://schemas.openxmlformats.org/officeDocument/2006/relationships/hyperlink" Target="https://aws.amazon.com/cloudfront/pricing/" TargetMode="External" Id="rId16"/><Relationship Type="http://schemas.openxmlformats.org/officeDocument/2006/relationships/hyperlink" Target="https://aws.amazon.com/api-gateway/pricing/" TargetMode="External" Id="rId17"/><Relationship Type="http://schemas.openxmlformats.org/officeDocument/2006/relationships/hyperlink" Target="https://aws.amazon.com/elasticloadbalancing/pricing/" TargetMode="External" Id="rId18"/><Relationship Type="http://schemas.openxmlformats.org/officeDocument/2006/relationships/hyperlink" Target="https://aws.amazon.com/vpc/pricing/" TargetMode="External" Id="rId19"/><Relationship Type="http://schemas.openxmlformats.org/officeDocument/2006/relationships/hyperlink" Target="https://aws.amazon.com/vpc/pricing/" TargetMode="External" Id="rId20"/><Relationship Type="http://schemas.openxmlformats.org/officeDocument/2006/relationships/hyperlink" Target="https://aws.amazon.com/privatelink/pricing/" TargetMode="External" Id="rId21"/><Relationship Type="http://schemas.openxmlformats.org/officeDocument/2006/relationships/hyperlink" Target="https://aws.amazon.com/ec2/pricing/on-demand/#Data_Transfer" TargetMode="External" Id="rId22"/><Relationship Type="http://schemas.openxmlformats.org/officeDocument/2006/relationships/hyperlink" Target="https://aws.amazon.com/route53/pricing/" TargetMode="External" Id="rId23"/><Relationship Type="http://schemas.openxmlformats.org/officeDocument/2006/relationships/hyperlink" Target="https://aws.amazon.com/cognito/pricing/" TargetMode="External" Id="rId24"/><Relationship Type="http://schemas.openxmlformats.org/officeDocument/2006/relationships/hyperlink" Target="https://aws.amazon.com/waf/pricing/" TargetMode="External" Id="rId25"/><Relationship Type="http://schemas.openxmlformats.org/officeDocument/2006/relationships/hyperlink" Target="https://aws.amazon.com/waf/pricing/" TargetMode="External" Id="rId26"/><Relationship Type="http://schemas.openxmlformats.org/officeDocument/2006/relationships/hyperlink" Target="https://aws.amazon.com/secrets-manager/pricing/" TargetMode="External" Id="rId27"/><Relationship Type="http://schemas.openxmlformats.org/officeDocument/2006/relationships/hyperlink" Target="https://aws.amazon.com/guardduty/pricing/" TargetMode="External" Id="rId28"/><Relationship Type="http://schemas.openxmlformats.org/officeDocument/2006/relationships/hyperlink" Target="https://aws.amazon.com/security-hub/pricing/" TargetMode="External" Id="rId29"/><Relationship Type="http://schemas.openxmlformats.org/officeDocument/2006/relationships/hyperlink" Target="https://aws.amazon.com/certificate-manager/pricing/" TargetMode="External" Id="rId30"/><Relationship Type="http://schemas.openxmlformats.org/officeDocument/2006/relationships/hyperlink" Target="https://aws.amazon.com/cloudwatch/pricing/" TargetMode="External" Id="rId31"/><Relationship Type="http://schemas.openxmlformats.org/officeDocument/2006/relationships/hyperlink" Target="https://aws.amazon.com/cloudwatch/pricing/" TargetMode="External" Id="rId32"/><Relationship Type="http://schemas.openxmlformats.org/officeDocument/2006/relationships/hyperlink" Target="https://aws.amazon.com/prometheus/pricing/" TargetMode="External" Id="rId33"/><Relationship Type="http://schemas.openxmlformats.org/officeDocument/2006/relationships/hyperlink" Target="https://aws.amazon.com/grafana/pricing/" TargetMode="External" Id="rId34"/><Relationship Type="http://schemas.openxmlformats.org/officeDocument/2006/relationships/hyperlink" Target="https://aws.amazon.com/cloudwatch/pricing/" TargetMode="External" Id="rId35"/><Relationship Type="http://schemas.openxmlformats.org/officeDocument/2006/relationships/hyperlink" Target="https://aws.amazon.com/xray/pricing/" TargetMode="External" Id="rId36"/><Relationship Type="http://schemas.openxmlformats.org/officeDocument/2006/relationships/hyperlink" Target="https://aws.amazon.com/sqs/pricing/" TargetMode="External" Id="rId37"/><Relationship Type="http://schemas.openxmlformats.org/officeDocument/2006/relationships/hyperlink" Target="https://aws.amazon.com/bedrock/pricing/" TargetMode="External" Id="rId38"/><Relationship Type="http://schemas.openxmlformats.org/officeDocument/2006/relationships/hyperlink" Target="https://aws.amazon.com/bedrock/pricing/" TargetMode="External" Id="rId39"/><Relationship Type="http://schemas.openxmlformats.org/officeDocument/2006/relationships/hyperlink" Target="https://aws.amazon.com/location/pricing/" TargetMode="External" Id="rId40"/><Relationship Type="http://schemas.openxmlformats.org/officeDocument/2006/relationships/hyperlink" Target="https://aws.amazon.com/location/pricing/" TargetMode="External" Id="rId41"/><Relationship Type="http://schemas.openxmlformats.org/officeDocument/2006/relationships/hyperlink" Target="https://aws.amazon.com/end-user-messaging/pricing/" TargetMode="External" Id="rId42"/><Relationship Type="http://schemas.openxmlformats.org/officeDocument/2006/relationships/hyperlink" Target="https://aws.amazon.com/connect/pricing/" TargetMode="External" Id="rId43"/><Relationship Type="http://schemas.openxmlformats.org/officeDocument/2006/relationships/hyperlink" Target="https://aws.amazon.com/ses/pricing/" TargetMode="External" Id="rId44"/><Relationship Type="http://schemas.openxmlformats.org/officeDocument/2006/relationships/hyperlink" Target="https://aws.amazon.com/connect/pricing/" TargetMode="External" Id="rId45"/><Relationship Type="http://schemas.openxmlformats.org/officeDocument/2006/relationships/hyperlink" Target="https://aws.amazon.com/eks/pricing/" TargetMode="External" Id="rId46"/><Relationship Type="http://schemas.openxmlformats.org/officeDocument/2006/relationships/hyperlink" Target="https://aws.amazon.com/ec2/pricing/on-demand/" TargetMode="External" Id="rId47"/><Relationship Type="http://schemas.openxmlformats.org/officeDocument/2006/relationships/hyperlink" Target="https://aws.amazon.com/rds/postgresql/pricing/" TargetMode="External" Id="rId48"/><Relationship Type="http://schemas.openxmlformats.org/officeDocument/2006/relationships/hyperlink" Target="https://aws.amazon.com/rds/postgresql/pricing/" TargetMode="External" Id="rId49"/><Relationship Type="http://schemas.openxmlformats.org/officeDocument/2006/relationships/hyperlink" Target="https://aws.amazon.com/elasticache/pricing/" TargetMode="External" Id="rId50"/><Relationship Type="http://schemas.openxmlformats.org/officeDocument/2006/relationships/hyperlink" Target="https://aws.amazon.com/vpc/pricing/" TargetMode="External" Id="rId51"/><Relationship Type="http://schemas.openxmlformats.org/officeDocument/2006/relationships/hyperlink" Target="https://aws.amazon.com/cloudwatch/pricing/" TargetMode="External" Id="rId52"/></Relationships>
</file>

<file path=xl/worksheets/_rels/sheet7.xml.rels><Relationships xmlns="http://schemas.openxmlformats.org/package/2006/relationships"><Relationship Type="http://schemas.openxmlformats.org/officeDocument/2006/relationships/hyperlink" Target="https://azure.microsoft.com/es-es/pricing/calculator/" TargetMode="External" Id="rId1"/><Relationship Type="http://schemas.openxmlformats.org/officeDocument/2006/relationships/hyperlink" Target="https://prices.azure.com/api/retail/prices" TargetMode="External" Id="rId2"/><Relationship Type="http://schemas.openxmlformats.org/officeDocument/2006/relationships/hyperlink" Target="https://learn.microsoft.com/azure/cost-management-billing/reservations/save-compute-costs-reservations" TargetMode="External" Id="rId3"/><Relationship Type="http://schemas.openxmlformats.org/officeDocument/2006/relationships/hyperlink" Target="https://azure.microsoft.com/es-es/pricing/offers/savings-plan-compute/" TargetMode="External" Id="rId4"/><Relationship Type="http://schemas.openxmlformats.org/officeDocument/2006/relationships/hyperlink" Target="https://calculator.aws/" TargetMode="External" Id="rId5"/><Relationship Type="http://schemas.openxmlformats.org/officeDocument/2006/relationships/hyperlink" Target="https://pricing.us-east-1.amazonaws.com/offers/v1.0/aws/index.json" TargetMode="External" Id="rId6"/><Relationship Type="http://schemas.openxmlformats.org/officeDocument/2006/relationships/hyperlink" Target="https://aws.amazon.com/savingsplans/compute-pricing/" TargetMode="External" Id="rId7"/><Relationship Type="http://schemas.openxmlformats.org/officeDocument/2006/relationships/hyperlink" Target="https://cloud.google.com/products/calculator" TargetMode="External" Id="rId8"/><Relationship Type="http://schemas.openxmlformats.org/officeDocument/2006/relationships/hyperlink" Target="https://learn.microsoft.com/azure/compliance/offerings/offering-hipaa-us" TargetMode="External" Id="rId9"/><Relationship Type="http://schemas.openxmlformats.org/officeDocument/2006/relationships/hyperlink" Target="https://aws.amazon.com/compliance/hipaa-compliance/" TargetMode="External" Id="rId10"/><Relationship Type="http://schemas.openxmlformats.org/officeDocument/2006/relationships/hyperlink" Target="https://azure.microsoft.com/es-es/pricing/details/kubernetes-service/" TargetMode="External" Id="rId11"/><Relationship Type="http://schemas.openxmlformats.org/officeDocument/2006/relationships/hyperlink" Target="https://azure.microsoft.com/es-es/pricing/details/virtual-machines/linux/" TargetMode="External" Id="rId12"/><Relationship Type="http://schemas.openxmlformats.org/officeDocument/2006/relationships/hyperlink" Target="https://azure.microsoft.com/es-es/pricing/details/managed-disks/" TargetMode="External" Id="rId13"/><Relationship Type="http://schemas.openxmlformats.org/officeDocument/2006/relationships/hyperlink" Target="https://azure.microsoft.com/es-es/pricing/details/container-registry/" TargetMode="External" Id="rId14"/><Relationship Type="http://schemas.openxmlformats.org/officeDocument/2006/relationships/hyperlink" Target="https://azure.microsoft.com/es-es/pricing/details/postgresql/flexible-server/" TargetMode="External" Id="rId15"/><Relationship Type="http://schemas.openxmlformats.org/officeDocument/2006/relationships/hyperlink" Target="https://learn.microsoft.com/azure/postgresql/flexible-server/concepts-read-replicas" TargetMode="External" Id="rId16"/><Relationship Type="http://schemas.openxmlformats.org/officeDocument/2006/relationships/hyperlink" Target="https://azure.microsoft.com/es-es/pricing/details/cache/" TargetMode="External" Id="rId17"/><Relationship Type="http://schemas.openxmlformats.org/officeDocument/2006/relationships/hyperlink" Target="https://azure.microsoft.com/es-es/pricing/details/storage/blobs/" TargetMode="External" Id="rId18"/><Relationship Type="http://schemas.openxmlformats.org/officeDocument/2006/relationships/hyperlink" Target="https://azure.microsoft.com/es-es/pricing/details/health-data-services/" TargetMode="External" Id="rId19"/><Relationship Type="http://schemas.openxmlformats.org/officeDocument/2006/relationships/hyperlink" Target="https://azure.microsoft.com/es-es/pricing/details/frontdoor/" TargetMode="External" Id="rId20"/><Relationship Type="http://schemas.openxmlformats.org/officeDocument/2006/relationships/hyperlink" Target="https://azure.microsoft.com/es-es/pricing/details/api-management/" TargetMode="External" Id="rId21"/><Relationship Type="http://schemas.openxmlformats.org/officeDocument/2006/relationships/hyperlink" Target="https://azure.microsoft.com/es-es/pricing/details/private-link/" TargetMode="External" Id="rId22"/><Relationship Type="http://schemas.openxmlformats.org/officeDocument/2006/relationships/hyperlink" Target="https://azure.microsoft.com/es-es/pricing/details/bandwidth/" TargetMode="External" Id="rId23"/><Relationship Type="http://schemas.openxmlformats.org/officeDocument/2006/relationships/hyperlink" Target="https://azure.microsoft.com/es-es/pricing/details/dns/" TargetMode="External" Id="rId24"/><Relationship Type="http://schemas.openxmlformats.org/officeDocument/2006/relationships/hyperlink" Target="https://www.microsoft.com/es-es/security/business/microsoft-entra-pricing" TargetMode="External" Id="rId25"/><Relationship Type="http://schemas.openxmlformats.org/officeDocument/2006/relationships/hyperlink" Target="https://azure.microsoft.com/es-es/pricing/details/key-vault/" TargetMode="External" Id="rId26"/><Relationship Type="http://schemas.openxmlformats.org/officeDocument/2006/relationships/hyperlink" Target="https://azure.microsoft.com/es-es/pricing/details/defender-for-cloud/" TargetMode="External" Id="rId27"/><Relationship Type="http://schemas.openxmlformats.org/officeDocument/2006/relationships/hyperlink" Target="https://learn.microsoft.com/azure/frontdoor/domain" TargetMode="External" Id="rId28"/><Relationship Type="http://schemas.openxmlformats.org/officeDocument/2006/relationships/hyperlink" Target="https://azure.microsoft.com/es-es/pricing/details/monitor/" TargetMode="External" Id="rId29"/><Relationship Type="http://schemas.openxmlformats.org/officeDocument/2006/relationships/hyperlink" Target="https://azure.microsoft.com/es-es/pricing/details/managed-grafana/" TargetMode="External" Id="rId30"/><Relationship Type="http://schemas.openxmlformats.org/officeDocument/2006/relationships/hyperlink" Target="https://azure.microsoft.com/es-es/pricing/details/service-bus/" TargetMode="External" Id="rId31"/><Relationship Type="http://schemas.openxmlformats.org/officeDocument/2006/relationships/hyperlink" Target="https://azure.microsoft.com/es-es/pricing/details/cognitive-services/openai-service/" TargetMode="External" Id="rId32"/><Relationship Type="http://schemas.openxmlformats.org/officeDocument/2006/relationships/hyperlink" Target="https://azure.microsoft.com/es-es/pricing/details/azure-maps/" TargetMode="External" Id="rId33"/><Relationship Type="http://schemas.openxmlformats.org/officeDocument/2006/relationships/hyperlink" Target="https://learn.microsoft.com/azure/communication-services/concepts/sms-pricing" TargetMode="External" Id="rId34"/><Relationship Type="http://schemas.openxmlformats.org/officeDocument/2006/relationships/hyperlink" Target="https://learn.microsoft.com/azure/communication-services/concepts/pricing" TargetMode="External" Id="rId35"/><Relationship Type="http://schemas.openxmlformats.org/officeDocument/2006/relationships/hyperlink" Target="https://azure.microsoft.com/es-es/pricing/details/communication-services/" TargetMode="External" Id="rId36"/><Relationship Type="http://schemas.openxmlformats.org/officeDocument/2006/relationships/hyperlink" Target="https://learn.microsoft.com/azure/communication-services/concepts/numbers/number-types" TargetMode="External" Id="rId37"/><Relationship Type="http://schemas.openxmlformats.org/officeDocument/2006/relationships/hyperlink" Target="https://aws.amazon.com/eks/pricing/" TargetMode="External" Id="rId38"/><Relationship Type="http://schemas.openxmlformats.org/officeDocument/2006/relationships/hyperlink" Target="https://aws.amazon.com/ec2/pricing/on-demand/" TargetMode="External" Id="rId39"/><Relationship Type="http://schemas.openxmlformats.org/officeDocument/2006/relationships/hyperlink" Target="https://aws.amazon.com/ebs/pricing/" TargetMode="External" Id="rId40"/><Relationship Type="http://schemas.openxmlformats.org/officeDocument/2006/relationships/hyperlink" Target="https://aws.amazon.com/ecr/pricing/" TargetMode="External" Id="rId41"/><Relationship Type="http://schemas.openxmlformats.org/officeDocument/2006/relationships/hyperlink" Target="https://aws.amazon.com/rds/postgresql/pricing/" TargetMode="External" Id="rId42"/><Relationship Type="http://schemas.openxmlformats.org/officeDocument/2006/relationships/hyperlink" Target="https://aws.amazon.com/elasticache/pricing/" TargetMode="External" Id="rId43"/><Relationship Type="http://schemas.openxmlformats.org/officeDocument/2006/relationships/hyperlink" Target="https://aws.amazon.com/s3/pricing/" TargetMode="External" Id="rId44"/><Relationship Type="http://schemas.openxmlformats.org/officeDocument/2006/relationships/hyperlink" Target="https://aws.amazon.com/healthlake/pricing/" TargetMode="External" Id="rId45"/><Relationship Type="http://schemas.openxmlformats.org/officeDocument/2006/relationships/hyperlink" Target="https://aws.amazon.com/cloudfront/pricing/" TargetMode="External" Id="rId46"/><Relationship Type="http://schemas.openxmlformats.org/officeDocument/2006/relationships/hyperlink" Target="https://aws.amazon.com/api-gateway/pricing/" TargetMode="External" Id="rId47"/><Relationship Type="http://schemas.openxmlformats.org/officeDocument/2006/relationships/hyperlink" Target="https://aws.amazon.com/elasticloadbalancing/pricing/" TargetMode="External" Id="rId48"/><Relationship Type="http://schemas.openxmlformats.org/officeDocument/2006/relationships/hyperlink" Target="https://aws.amazon.com/vpc/pricing/" TargetMode="External" Id="rId49"/><Relationship Type="http://schemas.openxmlformats.org/officeDocument/2006/relationships/hyperlink" Target="https://aws.amazon.com/privatelink/pricing/" TargetMode="External" Id="rId50"/><Relationship Type="http://schemas.openxmlformats.org/officeDocument/2006/relationships/hyperlink" Target="https://aws.amazon.com/ec2/pricing/on-demand/#Data_Transfer" TargetMode="External" Id="rId51"/><Relationship Type="http://schemas.openxmlformats.org/officeDocument/2006/relationships/hyperlink" Target="https://aws.amazon.com/route53/pricing/" TargetMode="External" Id="rId52"/><Relationship Type="http://schemas.openxmlformats.org/officeDocument/2006/relationships/hyperlink" Target="https://aws.amazon.com/cognito/pricing/" TargetMode="External" Id="rId53"/><Relationship Type="http://schemas.openxmlformats.org/officeDocument/2006/relationships/hyperlink" Target="https://aws.amazon.com/waf/pricing/" TargetMode="External" Id="rId54"/><Relationship Type="http://schemas.openxmlformats.org/officeDocument/2006/relationships/hyperlink" Target="https://aws.amazon.com/secrets-manager/pricing/" TargetMode="External" Id="rId55"/><Relationship Type="http://schemas.openxmlformats.org/officeDocument/2006/relationships/hyperlink" Target="https://aws.amazon.com/guardduty/pricing/" TargetMode="External" Id="rId56"/><Relationship Type="http://schemas.openxmlformats.org/officeDocument/2006/relationships/hyperlink" Target="https://aws.amazon.com/security-hub/pricing/" TargetMode="External" Id="rId57"/><Relationship Type="http://schemas.openxmlformats.org/officeDocument/2006/relationships/hyperlink" Target="https://aws.amazon.com/certificate-manager/pricing/" TargetMode="External" Id="rId58"/><Relationship Type="http://schemas.openxmlformats.org/officeDocument/2006/relationships/hyperlink" Target="https://aws.amazon.com/cloudwatch/pricing/" TargetMode="External" Id="rId59"/><Relationship Type="http://schemas.openxmlformats.org/officeDocument/2006/relationships/hyperlink" Target="https://aws.amazon.com/prometheus/pricing/" TargetMode="External" Id="rId60"/><Relationship Type="http://schemas.openxmlformats.org/officeDocument/2006/relationships/hyperlink" Target="https://aws.amazon.com/grafana/pricing/" TargetMode="External" Id="rId61"/><Relationship Type="http://schemas.openxmlformats.org/officeDocument/2006/relationships/hyperlink" Target="https://aws.amazon.com/xray/pricing/" TargetMode="External" Id="rId62"/><Relationship Type="http://schemas.openxmlformats.org/officeDocument/2006/relationships/hyperlink" Target="https://aws.amazon.com/sqs/pricing/" TargetMode="External" Id="rId63"/><Relationship Type="http://schemas.openxmlformats.org/officeDocument/2006/relationships/hyperlink" Target="https://aws.amazon.com/bedrock/pricing/" TargetMode="External" Id="rId64"/><Relationship Type="http://schemas.openxmlformats.org/officeDocument/2006/relationships/hyperlink" Target="https://aws.amazon.com/location/pricing/" TargetMode="External" Id="rId65"/><Relationship Type="http://schemas.openxmlformats.org/officeDocument/2006/relationships/hyperlink" Target="https://aws.amazon.com/end-user-messaging/pricing/" TargetMode="External" Id="rId66"/><Relationship Type="http://schemas.openxmlformats.org/officeDocument/2006/relationships/hyperlink" Target="https://aws.amazon.com/connect/pricing/" TargetMode="External" Id="rId67"/><Relationship Type="http://schemas.openxmlformats.org/officeDocument/2006/relationships/hyperlink" Target="https://aws.amazon.com/ses/pricing/" TargetMode="External" Id="rId6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8" customWidth="1" min="2" max="2"/>
    <col width="18" customWidth="1" min="3" max="3"/>
    <col width="22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Resumen de costos - Plataforma de Atención de Enfermería Medical Health</t>
        </is>
      </c>
    </row>
    <row r="2">
      <c r="A2" s="2" t="inlineStr">
        <is>
          <t>Comparación mensual por categoría en pesos colombianos (COP), pago por uso. Precios de lista en USD consultados en Octubre 2026 y convertidos con la TRM de la hoja Supuestos.</t>
        </is>
      </c>
    </row>
    <row r="4" ht="32" customHeight="1">
      <c r="A4" s="3" t="inlineStr">
        <is>
          <t>Categoría</t>
        </is>
      </c>
      <c r="B4" s="3" t="inlineStr">
        <is>
          <t>Azure (COP/mes)</t>
        </is>
      </c>
      <c r="C4" s="3" t="inlineStr">
        <is>
          <t>AWS (COP/mes)</t>
        </is>
      </c>
      <c r="D4" s="3" t="inlineStr">
        <is>
          <t>Diferencia (Azure - AWS)</t>
        </is>
      </c>
      <c r="E4" s="3" t="inlineStr">
        <is>
          <t>% Azure sobre total</t>
        </is>
      </c>
      <c r="F4" s="3" t="inlineStr">
        <is>
          <t>Azure (COP/año)</t>
        </is>
      </c>
      <c r="G4" s="3" t="inlineStr">
        <is>
          <t>AWS (COP/año)</t>
        </is>
      </c>
    </row>
    <row r="5">
      <c r="A5" s="4" t="inlineStr">
        <is>
          <t>Computación</t>
        </is>
      </c>
      <c r="B5" s="5">
        <f>SUMIF(Azure!$A$4:$A$53,$A5,Azure!$J$4:$J$53)</f>
        <v/>
      </c>
      <c r="C5" s="5">
        <f>SUMIF(AWS!$A$4:$A$55,$A5,AWS!$J$4:$J$55)</f>
        <v/>
      </c>
      <c r="D5" s="5">
        <f>B5-C5</f>
        <v/>
      </c>
      <c r="E5" s="6">
        <f>B5/$B$12</f>
        <v/>
      </c>
      <c r="F5" s="5">
        <f>B5*12</f>
        <v/>
      </c>
      <c r="G5" s="5">
        <f>C5*12</f>
        <v/>
      </c>
    </row>
    <row r="6">
      <c r="A6" s="4" t="inlineStr">
        <is>
          <t>Almacenamiento y Bases de Datos</t>
        </is>
      </c>
      <c r="B6" s="5">
        <f>SUMIF(Azure!$A$4:$A$53,$A6,Azure!$J$4:$J$53)</f>
        <v/>
      </c>
      <c r="C6" s="5">
        <f>SUMIF(AWS!$A$4:$A$55,$A6,AWS!$J$4:$J$55)</f>
        <v/>
      </c>
      <c r="D6" s="5">
        <f>B6-C6</f>
        <v/>
      </c>
      <c r="E6" s="6">
        <f>B6/$B$12</f>
        <v/>
      </c>
      <c r="F6" s="5">
        <f>B6*12</f>
        <v/>
      </c>
      <c r="G6" s="5">
        <f>C6*12</f>
        <v/>
      </c>
    </row>
    <row r="7">
      <c r="A7" s="4" t="inlineStr">
        <is>
          <t>Redes</t>
        </is>
      </c>
      <c r="B7" s="5">
        <f>SUMIF(Azure!$A$4:$A$53,$A7,Azure!$J$4:$J$53)</f>
        <v/>
      </c>
      <c r="C7" s="5">
        <f>SUMIF(AWS!$A$4:$A$55,$A7,AWS!$J$4:$J$55)</f>
        <v/>
      </c>
      <c r="D7" s="5">
        <f>B7-C7</f>
        <v/>
      </c>
      <c r="E7" s="6">
        <f>B7/$B$12</f>
        <v/>
      </c>
      <c r="F7" s="5">
        <f>B7*12</f>
        <v/>
      </c>
      <c r="G7" s="5">
        <f>C7*12</f>
        <v/>
      </c>
    </row>
    <row r="8">
      <c r="A8" s="4" t="inlineStr">
        <is>
          <t>Seguridad</t>
        </is>
      </c>
      <c r="B8" s="5">
        <f>SUMIF(Azure!$A$4:$A$53,$A8,Azure!$J$4:$J$53)</f>
        <v/>
      </c>
      <c r="C8" s="5">
        <f>SUMIF(AWS!$A$4:$A$55,$A8,AWS!$J$4:$J$55)</f>
        <v/>
      </c>
      <c r="D8" s="5">
        <f>B8-C8</f>
        <v/>
      </c>
      <c r="E8" s="6">
        <f>B8/$B$12</f>
        <v/>
      </c>
      <c r="F8" s="5">
        <f>B8*12</f>
        <v/>
      </c>
      <c r="G8" s="5">
        <f>C8*12</f>
        <v/>
      </c>
    </row>
    <row r="9">
      <c r="A9" s="4" t="inlineStr">
        <is>
          <t>Monitoreo y Logs</t>
        </is>
      </c>
      <c r="B9" s="5">
        <f>SUMIF(Azure!$A$4:$A$53,$A9,Azure!$J$4:$J$53)</f>
        <v/>
      </c>
      <c r="C9" s="5">
        <f>SUMIF(AWS!$A$4:$A$55,$A9,AWS!$J$4:$J$55)</f>
        <v/>
      </c>
      <c r="D9" s="5">
        <f>B9-C9</f>
        <v/>
      </c>
      <c r="E9" s="6">
        <f>B9/$B$12</f>
        <v/>
      </c>
      <c r="F9" s="5">
        <f>B9*12</f>
        <v/>
      </c>
      <c r="G9" s="5">
        <f>C9*12</f>
        <v/>
      </c>
    </row>
    <row r="10">
      <c r="A10" s="4" t="inlineStr">
        <is>
          <t>Servicios de Plataforma</t>
        </is>
      </c>
      <c r="B10" s="5">
        <f>SUMIF(Azure!$A$4:$A$53,$A10,Azure!$J$4:$J$53)</f>
        <v/>
      </c>
      <c r="C10" s="5">
        <f>SUMIF(AWS!$A$4:$A$55,$A10,AWS!$J$4:$J$55)</f>
        <v/>
      </c>
      <c r="D10" s="5">
        <f>B10-C10</f>
        <v/>
      </c>
      <c r="E10" s="6">
        <f>B10/$B$12</f>
        <v/>
      </c>
      <c r="F10" s="5">
        <f>B10*12</f>
        <v/>
      </c>
      <c r="G10" s="5">
        <f>C10*12</f>
        <v/>
      </c>
    </row>
    <row r="11">
      <c r="A11" s="4" t="inlineStr">
        <is>
          <t>Ambiente Dev/Test</t>
        </is>
      </c>
      <c r="B11" s="5">
        <f>SUMIF(Azure!$A$4:$A$53,$A11,Azure!$J$4:$J$53)</f>
        <v/>
      </c>
      <c r="C11" s="5">
        <f>SUMIF(AWS!$A$4:$A$55,$A11,AWS!$J$4:$J$55)</f>
        <v/>
      </c>
      <c r="D11" s="5">
        <f>B11-C11</f>
        <v/>
      </c>
      <c r="E11" s="6">
        <f>B11/$B$12</f>
        <v/>
      </c>
      <c r="F11" s="5">
        <f>B11*12</f>
        <v/>
      </c>
      <c r="G11" s="5">
        <f>C11*12</f>
        <v/>
      </c>
    </row>
    <row r="12">
      <c r="A12" s="7" t="inlineStr">
        <is>
          <t>TOTAL</t>
        </is>
      </c>
      <c r="B12" s="8">
        <f>SUM(B5:B11)</f>
        <v/>
      </c>
      <c r="C12" s="8">
        <f>SUM(C5:C11)</f>
        <v/>
      </c>
      <c r="D12" s="8">
        <f>B12-C12</f>
        <v/>
      </c>
      <c r="E12" s="9">
        <f>SUM(E5:E11)</f>
        <v/>
      </c>
      <c r="F12" s="8">
        <f>SUM(F5:F11)</f>
        <v/>
      </c>
      <c r="G12" s="8">
        <f>SUM(G5:G11)</f>
        <v/>
      </c>
    </row>
    <row r="14">
      <c r="A14" s="10" t="inlineStr">
        <is>
          <t>Indicadores clave</t>
        </is>
      </c>
    </row>
    <row r="15">
      <c r="A15" s="4" t="inlineStr">
        <is>
          <t>Costo mensual Azure en COP (pago por uso)</t>
        </is>
      </c>
      <c r="B15" s="11">
        <f>B12</f>
        <v/>
      </c>
    </row>
    <row r="16">
      <c r="A16" s="4" t="inlineStr">
        <is>
          <t>Costo mensual Azure en COP con reservas a 1 año</t>
        </is>
      </c>
      <c r="B16" s="11">
        <f>Optimización!$C$14</f>
        <v/>
      </c>
    </row>
    <row r="17">
      <c r="A17" s="4" t="inlineStr">
        <is>
          <t>Costo por enfermera al mes en COP (reservas a 1 año)</t>
        </is>
      </c>
      <c r="B17" s="11">
        <f>Optimización!$C$14/Supuestos!$B$6</f>
        <v/>
      </c>
    </row>
    <row r="18">
      <c r="A18" s="4" t="inlineStr">
        <is>
          <t>Costo por llamada atendida en COP (reservas a 1 año)</t>
        </is>
      </c>
      <c r="B18" s="11">
        <f>Optimización!$C$14/Supuestos!$B$8</f>
        <v/>
      </c>
    </row>
    <row r="19">
      <c r="A19" s="4" t="inlineStr">
        <is>
          <t>Costo anual Azure en COP con reservas a 1 año</t>
        </is>
      </c>
      <c r="B19" s="11">
        <f>Optimización!$C$14*12</f>
        <v/>
      </c>
    </row>
    <row r="20">
      <c r="A20" s="4" t="inlineStr">
        <is>
          <t>Costo total a 3 años (TCO) en COP con reservas a 3 años</t>
        </is>
      </c>
      <c r="B20" s="11">
        <f>Optimización!$D$14*36</f>
        <v/>
      </c>
    </row>
    <row r="21">
      <c r="A21" s="4" t="inlineStr">
        <is>
          <t>Costo mensual Azure en USD (referencia)</t>
        </is>
      </c>
      <c r="B21" s="12">
        <f>Azure!$I$54</f>
        <v/>
      </c>
    </row>
    <row r="22">
      <c r="A22" s="4" t="inlineStr">
        <is>
          <t>Diferencia AWS vs Azure (pago por uso)</t>
        </is>
      </c>
      <c r="B22" s="13">
        <f>(C12-B12)/B12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2" customWidth="1" min="3" max="3"/>
    <col width="62" customWidth="1" min="4" max="4"/>
  </cols>
  <sheetData>
    <row r="1">
      <c r="A1" s="1" t="inlineStr">
        <is>
          <t>Supuestos de carga y dimensionamiento</t>
        </is>
      </c>
    </row>
    <row r="2">
      <c r="A2" s="2" t="inlineStr">
        <is>
          <t>Valores editables: todas las hojas de costos se recalculan a partir de estas celdas. Precios consultados en Octubre 2026.</t>
        </is>
      </c>
    </row>
    <row r="3" ht="32" customHeight="1">
      <c r="A3" s="3" t="inlineStr">
        <is>
          <t>Parámetro</t>
        </is>
      </c>
      <c r="B3" s="3" t="inlineStr">
        <is>
          <t>Valor</t>
        </is>
      </c>
      <c r="C3" s="3" t="inlineStr">
        <is>
          <t>Unidad</t>
        </is>
      </c>
      <c r="D3" s="3" t="inlineStr">
        <is>
          <t>Justificación</t>
        </is>
      </c>
    </row>
    <row r="4">
      <c r="A4" s="4" t="inlineStr">
        <is>
          <t>Horas por mes</t>
        </is>
      </c>
      <c r="B4" s="14" t="n">
        <v>730</v>
      </c>
      <c r="C4" s="4" t="inlineStr">
        <is>
          <t>horas</t>
        </is>
      </c>
      <c r="D4" s="4" t="inlineStr">
        <is>
          <t>Operación 24/7 (8.760 h / 12 meses)</t>
        </is>
      </c>
    </row>
    <row r="5">
      <c r="A5" s="4" t="inlineStr">
        <is>
          <t>Días por mes</t>
        </is>
      </c>
      <c r="B5" s="14" t="n">
        <v>30.42</v>
      </c>
      <c r="C5" s="4" t="inlineStr">
        <is>
          <t>días</t>
        </is>
      </c>
      <c r="D5" s="4" t="inlineStr">
        <is>
          <t>Promedio anual</t>
        </is>
      </c>
    </row>
    <row r="6">
      <c r="A6" s="4" t="inlineStr">
        <is>
          <t>Enfermeras</t>
        </is>
      </c>
      <c r="B6" s="14" t="n">
        <v>250</v>
      </c>
      <c r="C6" s="4" t="inlineStr">
        <is>
          <t>usuarias</t>
        </is>
      </c>
      <c r="D6" s="4" t="inlineStr">
        <is>
          <t>Dato del enunciado (250 o más)</t>
        </is>
      </c>
    </row>
    <row r="7">
      <c r="A7" s="4" t="inlineStr">
        <is>
          <t>Supervisoras y administradores</t>
        </is>
      </c>
      <c r="B7" s="14" t="n">
        <v>20</v>
      </c>
      <c r="C7" s="4" t="inlineStr">
        <is>
          <t>usuarios</t>
        </is>
      </c>
      <c r="D7" s="4" t="inlineStr">
        <is>
          <t>1 supervisora cada ~15 enfermeras</t>
        </is>
      </c>
    </row>
    <row r="8">
      <c r="A8" s="4" t="inlineStr">
        <is>
          <t>Llamadas atendidas por mes</t>
        </is>
      </c>
      <c r="B8" s="14" t="n">
        <v>180000</v>
      </c>
      <c r="C8" s="4" t="inlineStr">
        <is>
          <t>llamadas</t>
        </is>
      </c>
      <c r="D8" s="4" t="inlineStr">
        <is>
          <t>~24 llamadas por enfermera por día</t>
        </is>
      </c>
    </row>
    <row r="9">
      <c r="A9" s="4" t="inlineStr">
        <is>
          <t>Tasa de remisión a centro médico</t>
        </is>
      </c>
      <c r="B9" s="15" t="n">
        <v>0.2</v>
      </c>
      <c r="C9" s="4" t="inlineStr">
        <is>
          <t>%</t>
        </is>
      </c>
      <c r="D9" s="4" t="inlineStr">
        <is>
          <t>1 de cada 5 llamadas requiere atención presencial</t>
        </is>
      </c>
    </row>
    <row r="10">
      <c r="A10" s="4" t="inlineStr">
        <is>
          <t>Remisiones por mes</t>
        </is>
      </c>
      <c r="B10" s="14">
        <f>B8*B9</f>
        <v/>
      </c>
      <c r="C10" s="4" t="inlineStr">
        <is>
          <t>remisiones</t>
        </is>
      </c>
      <c r="D10" s="4" t="inlineStr">
        <is>
          <t>Llamadas x tasa de remisión</t>
        </is>
      </c>
    </row>
    <row r="11">
      <c r="A11" s="4" t="inlineStr">
        <is>
          <t>Peticiones API por llamada</t>
        </is>
      </c>
      <c r="B11" s="14" t="n">
        <v>80</v>
      </c>
      <c r="C11" s="4" t="inlineStr">
        <is>
          <t>peticiones</t>
        </is>
      </c>
      <c r="D11" s="4" t="inlineStr">
        <is>
          <t>Login, historia, triaje, centros, remisión, refrescos</t>
        </is>
      </c>
    </row>
    <row r="12">
      <c r="A12" s="4" t="inlineStr">
        <is>
          <t>Peticiones API por mes</t>
        </is>
      </c>
      <c r="B12" s="14">
        <f>B8*B11</f>
        <v/>
      </c>
      <c r="C12" s="4" t="inlineStr">
        <is>
          <t>peticiones</t>
        </is>
      </c>
      <c r="D12" s="4" t="inlineStr">
        <is>
          <t>Llamadas x peticiones por llamada</t>
        </is>
      </c>
    </row>
    <row r="13">
      <c r="A13" s="4" t="inlineStr">
        <is>
          <t>Tokens de entrada por triaje</t>
        </is>
      </c>
      <c r="B13" s="14" t="n">
        <v>2000</v>
      </c>
      <c r="C13" s="4" t="inlineStr">
        <is>
          <t>tokens</t>
        </is>
      </c>
      <c r="D13" s="4" t="inlineStr">
        <is>
          <t>Síntomas + contexto clínico anonimizado + instrucciones</t>
        </is>
      </c>
    </row>
    <row r="14">
      <c r="A14" s="4" t="inlineStr">
        <is>
          <t>Tokens de salida por triaje</t>
        </is>
      </c>
      <c r="B14" s="14" t="n">
        <v>500</v>
      </c>
      <c r="C14" s="4" t="inlineStr">
        <is>
          <t>tokens</t>
        </is>
      </c>
      <c r="D14" s="4" t="inlineStr">
        <is>
          <t>Posibles causas, signos de alarma y recomendación</t>
        </is>
      </c>
    </row>
    <row r="15">
      <c r="A15" s="4" t="inlineStr">
        <is>
          <t>Peticiones FHIR por llamada</t>
        </is>
      </c>
      <c r="B15" s="14" t="n">
        <v>10</v>
      </c>
      <c r="C15" s="4" t="inlineStr">
        <is>
          <t>peticiones</t>
        </is>
      </c>
      <c r="D15" s="4" t="inlineStr">
        <is>
          <t>Patient, Condition, Allergy, Medication, Encounter</t>
        </is>
      </c>
    </row>
    <row r="16">
      <c r="A16" s="4" t="inlineStr">
        <is>
          <t>Almacenamiento clínico FHIR</t>
        </is>
      </c>
      <c r="B16" s="14" t="n">
        <v>200</v>
      </c>
      <c r="C16" s="4" t="inlineStr">
        <is>
          <t>GB</t>
        </is>
      </c>
      <c r="D16" s="4" t="inlineStr">
        <is>
          <t>Historias clínicas normalizadas</t>
        </is>
      </c>
    </row>
    <row r="17">
      <c r="A17" s="4" t="inlineStr">
        <is>
          <t>Almacenamiento de documentos (Blob/S3)</t>
        </is>
      </c>
      <c r="B17" s="14" t="n">
        <v>1024</v>
      </c>
      <c r="C17" s="4" t="inlineStr">
        <is>
          <t>GB</t>
        </is>
      </c>
      <c r="D17" s="4" t="inlineStr">
        <is>
          <t>Adjuntos, reportes, exportaciones</t>
        </is>
      </c>
    </row>
    <row r="18">
      <c r="A18" s="4" t="inlineStr">
        <is>
          <t>Almacenamiento PostgreSQL aprovisionado</t>
        </is>
      </c>
      <c r="B18" s="14" t="n">
        <v>512</v>
      </c>
      <c r="C18" s="4" t="inlineStr">
        <is>
          <t>GB</t>
        </is>
      </c>
      <c r="D18" s="4" t="inlineStr">
        <is>
          <t>Casos, remisiones, auditoría y centros</t>
        </is>
      </c>
    </row>
    <row r="19">
      <c r="A19" s="4" t="inlineStr">
        <is>
          <t>Logs ingeridos por mes</t>
        </is>
      </c>
      <c r="B19" s="14" t="n">
        <v>200</v>
      </c>
      <c r="C19" s="4" t="inlineStr">
        <is>
          <t>GB</t>
        </is>
      </c>
      <c r="D19" s="4" t="inlineStr">
        <is>
          <t>Aplicación, AKS/EKS, gateway, auditoría</t>
        </is>
      </c>
    </row>
    <row r="20">
      <c r="A20" s="4" t="inlineStr">
        <is>
          <t>Salida de datos a internet</t>
        </is>
      </c>
      <c r="B20" s="14" t="n">
        <v>500</v>
      </c>
      <c r="C20" s="4" t="inlineStr">
        <is>
          <t>GB</t>
        </is>
      </c>
      <c r="D20" s="4" t="inlineStr">
        <is>
          <t>Respuestas API y descarga de la SPA</t>
        </is>
      </c>
    </row>
    <row r="21">
      <c r="A21" s="4" t="inlineStr">
        <is>
          <t>Remisiones con llamada de voz</t>
        </is>
      </c>
      <c r="B21" s="15" t="n">
        <v>0.4</v>
      </c>
      <c r="C21" s="4" t="inlineStr">
        <is>
          <t>%</t>
        </is>
      </c>
      <c r="D21" s="4" t="inlineStr">
        <is>
          <t>El resto se notifica solo por SMS y correo</t>
        </is>
      </c>
    </row>
    <row r="22">
      <c r="A22" s="4" t="inlineStr">
        <is>
          <t>Minutos por llamada de voz</t>
        </is>
      </c>
      <c r="B22" s="14" t="n">
        <v>2</v>
      </c>
      <c r="C22" s="4" t="inlineStr">
        <is>
          <t>minutos</t>
        </is>
      </c>
      <c r="D22" s="4" t="inlineStr">
        <is>
          <t>Aviso breve al centro médico</t>
        </is>
      </c>
    </row>
    <row r="23">
      <c r="A23" s="4" t="inlineStr">
        <is>
          <t>Muestras Prometheus por mes</t>
        </is>
      </c>
      <c r="B23" s="14" t="n">
        <v>1500</v>
      </c>
      <c r="C23" s="4" t="inlineStr">
        <is>
          <t>millones</t>
        </is>
      </c>
      <c r="D23" s="4" t="inlineStr">
        <is>
          <t>~120 series por pod, 30 pods, cada 30 s</t>
        </is>
      </c>
    </row>
    <row r="24">
      <c r="A24" s="4" t="inlineStr">
        <is>
          <t>Transferencia entre regiones</t>
        </is>
      </c>
      <c r="B24" s="14" t="n">
        <v>300</v>
      </c>
      <c r="C24" s="4" t="inlineStr">
        <is>
          <t>GB</t>
        </is>
      </c>
      <c r="D24" s="4" t="inlineStr">
        <is>
          <t>Replicación de BD y almacenamiento</t>
        </is>
      </c>
    </row>
    <row r="25">
      <c r="A25" s="4" t="inlineStr">
        <is>
          <t>Nodos Kubernetes región primaria (promedio)</t>
        </is>
      </c>
      <c r="B25" s="14" t="n">
        <v>4</v>
      </c>
      <c r="C25" s="4" t="inlineStr">
        <is>
          <t>nodos</t>
        </is>
      </c>
      <c r="D25" s="4" t="inlineStr">
        <is>
          <t>Autoescalado entre 3 y 12 nodos</t>
        </is>
      </c>
    </row>
    <row r="26">
      <c r="A26" s="4" t="inlineStr">
        <is>
          <t>Nodos Kubernetes región secundaria</t>
        </is>
      </c>
      <c r="B26" s="14" t="n">
        <v>2</v>
      </c>
      <c r="C26" s="4" t="inlineStr">
        <is>
          <t>nodos</t>
        </is>
      </c>
      <c r="D26" s="4" t="inlineStr">
        <is>
          <t>Mínimo en espera (pasivo)</t>
        </is>
      </c>
    </row>
    <row r="27">
      <c r="A27" s="4" t="inlineStr">
        <is>
          <t>vCPU por nodo</t>
        </is>
      </c>
      <c r="B27" s="14" t="n">
        <v>4</v>
      </c>
      <c r="C27" s="4" t="inlineStr">
        <is>
          <t>vCPU</t>
        </is>
      </c>
      <c r="D27" s="4" t="inlineStr">
        <is>
          <t>D4s v5 / m6i.xlarge: 4 vCPU, 16 GB RAM</t>
        </is>
      </c>
    </row>
    <row r="28">
      <c r="A28" s="4" t="inlineStr">
        <is>
          <t>TRM (pesos colombianos por dólar)</t>
        </is>
      </c>
      <c r="B28" s="14" t="n">
        <v>3273.49</v>
      </c>
      <c r="C28" s="4" t="inlineStr">
        <is>
          <t>COP</t>
        </is>
      </c>
      <c r="D28" s="4" t="inlineStr">
        <is>
          <t>Banco de la República, vigente del 3 al 5 de octubre de 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4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30" customWidth="1" min="2" max="2"/>
    <col width="44" customWidth="1" min="3" max="3"/>
    <col width="20" customWidth="1" min="4" max="4"/>
    <col width="10" customWidth="1" min="5" max="5"/>
    <col width="16" customWidth="1" min="6" max="6"/>
    <col width="13" customWidth="1" min="7" max="7"/>
    <col width="14" customWidth="1" min="8" max="8"/>
    <col width="16" customWidth="1" min="9" max="9"/>
    <col width="18" customWidth="1" min="10" max="10"/>
    <col width="20" customWidth="1" min="11" max="11"/>
    <col width="40" customWidth="1" min="12" max="12"/>
  </cols>
  <sheetData>
    <row r="1">
      <c r="A1" s="1" t="inlineStr">
        <is>
          <t>Detalle de costos - Azure</t>
        </is>
      </c>
    </row>
    <row r="2">
      <c r="A2" s="2" t="inlineStr">
        <is>
          <t>Región primaria East US 2, secundaria Central US. Pago por uso (sin descuentos). Precios de lista en USD consultados en Octubre 2026 en la API oficial de precios de Azure.</t>
        </is>
      </c>
    </row>
    <row r="3" ht="32" customHeight="1">
      <c r="A3" s="3" t="inlineStr">
        <is>
          <t>Categoría</t>
        </is>
      </c>
      <c r="B3" s="3" t="inlineStr">
        <is>
          <t>Servicio</t>
        </is>
      </c>
      <c r="C3" s="3" t="inlineStr">
        <is>
          <t>Configuración / SKU</t>
        </is>
      </c>
      <c r="D3" s="3" t="inlineStr">
        <is>
          <t>Región</t>
        </is>
      </c>
      <c r="E3" s="3" t="inlineStr">
        <is>
          <t>Cantidad</t>
        </is>
      </c>
      <c r="F3" s="3" t="inlineStr">
        <is>
          <t>Unidad de cobro</t>
        </is>
      </c>
      <c r="G3" s="3" t="inlineStr">
        <is>
          <t>Uso mensual</t>
        </is>
      </c>
      <c r="H3" s="3" t="inlineStr">
        <is>
          <t>Precio unitario (USD)</t>
        </is>
      </c>
      <c r="I3" s="3" t="inlineStr">
        <is>
          <t>Costo mensual (USD)</t>
        </is>
      </c>
      <c r="J3" s="3" t="inlineStr">
        <is>
          <t>Costo mensual (COP)</t>
        </is>
      </c>
      <c r="K3" s="3" t="inlineStr">
        <is>
          <t>Costo anual (COP)</t>
        </is>
      </c>
      <c r="L3" s="3" t="inlineStr">
        <is>
          <t>Referencia</t>
        </is>
      </c>
    </row>
    <row r="4">
      <c r="A4" s="16" t="inlineStr">
        <is>
          <t>Computación</t>
        </is>
      </c>
      <c r="B4" s="17" t="inlineStr">
        <is>
          <t>Azure Kubernetes Service</t>
        </is>
      </c>
      <c r="C4" s="17" t="inlineStr">
        <is>
          <t>Plano de control Standard (SLA 99,95%)</t>
        </is>
      </c>
      <c r="D4" s="16" t="inlineStr">
        <is>
          <t>East US 2 + Central US</t>
        </is>
      </c>
      <c r="E4" s="18" t="n">
        <v>2</v>
      </c>
      <c r="F4" s="16" t="inlineStr">
        <is>
          <t>clúster-hora</t>
        </is>
      </c>
      <c r="G4" s="18">
        <f>Supuestos!$B$4</f>
        <v/>
      </c>
      <c r="H4" s="19" t="n">
        <v>0.1</v>
      </c>
      <c r="I4" s="20">
        <f>E4*G4*H4</f>
        <v/>
      </c>
      <c r="J4" s="21">
        <f>I4*Supuestos!$B$28</f>
        <v/>
      </c>
      <c r="K4" s="21">
        <f>J4*12</f>
        <v/>
      </c>
      <c r="L4" s="22" t="inlineStr">
        <is>
          <t>https://azure.microsoft.com/es-es/pricing/details/kubernetes-service/</t>
        </is>
      </c>
    </row>
    <row r="5">
      <c r="A5" s="16" t="inlineStr">
        <is>
          <t>Computación</t>
        </is>
      </c>
      <c r="B5" s="17" t="inlineStr">
        <is>
          <t>AKS - nodos región primaria</t>
        </is>
      </c>
      <c r="C5" s="17" t="inlineStr">
        <is>
          <t>Standard_D4s_v5 Linux (4 vCPU, 16 GB)</t>
        </is>
      </c>
      <c r="D5" s="16" t="inlineStr">
        <is>
          <t>East US 2</t>
        </is>
      </c>
      <c r="E5" s="18">
        <f>Supuestos!$B$25</f>
        <v/>
      </c>
      <c r="F5" s="16" t="inlineStr">
        <is>
          <t>nodo-hora</t>
        </is>
      </c>
      <c r="G5" s="18">
        <f>Supuestos!$B$4</f>
        <v/>
      </c>
      <c r="H5" s="19" t="n">
        <v>0.192</v>
      </c>
      <c r="I5" s="20">
        <f>E5*G5*H5</f>
        <v/>
      </c>
      <c r="J5" s="21">
        <f>I5*Supuestos!$B$28</f>
        <v/>
      </c>
      <c r="K5" s="21">
        <f>J5*12</f>
        <v/>
      </c>
      <c r="L5" s="22" t="inlineStr">
        <is>
          <t>https://azure.microsoft.com/es-es/pricing/details/virtual-machines/linux/</t>
        </is>
      </c>
    </row>
    <row r="6">
      <c r="A6" s="16" t="inlineStr">
        <is>
          <t>Computación</t>
        </is>
      </c>
      <c r="B6" s="17" t="inlineStr">
        <is>
          <t>AKS - nodos región secundaria</t>
        </is>
      </c>
      <c r="C6" s="17" t="inlineStr">
        <is>
          <t>Standard_D4s_v5 Linux (4 vCPU, 16 GB)</t>
        </is>
      </c>
      <c r="D6" s="16" t="inlineStr">
        <is>
          <t>Central US</t>
        </is>
      </c>
      <c r="E6" s="18">
        <f>Supuestos!$B$26</f>
        <v/>
      </c>
      <c r="F6" s="16" t="inlineStr">
        <is>
          <t>nodo-hora</t>
        </is>
      </c>
      <c r="G6" s="18">
        <f>Supuestos!$B$4</f>
        <v/>
      </c>
      <c r="H6" s="19" t="n">
        <v>0.192</v>
      </c>
      <c r="I6" s="20">
        <f>E6*G6*H6</f>
        <v/>
      </c>
      <c r="J6" s="21">
        <f>I6*Supuestos!$B$28</f>
        <v/>
      </c>
      <c r="K6" s="21">
        <f>J6*12</f>
        <v/>
      </c>
      <c r="L6" s="22" t="inlineStr">
        <is>
          <t>https://azure.microsoft.com/es-es/pricing/details/virtual-machines/linux/</t>
        </is>
      </c>
    </row>
    <row r="7">
      <c r="A7" s="16" t="inlineStr">
        <is>
          <t>Computación</t>
        </is>
      </c>
      <c r="B7" s="17" t="inlineStr">
        <is>
          <t>Discos de SO de los nodos</t>
        </is>
      </c>
      <c r="C7" s="17" t="inlineStr">
        <is>
          <t>Premium SSD P10 (128 GB)</t>
        </is>
      </c>
      <c r="D7" s="16" t="inlineStr">
        <is>
          <t>Ambas</t>
        </is>
      </c>
      <c r="E7" s="18">
        <f>Supuestos!$B$25+Supuestos!$B$26</f>
        <v/>
      </c>
      <c r="F7" s="16" t="inlineStr">
        <is>
          <t>disco-mes</t>
        </is>
      </c>
      <c r="G7" s="18" t="n">
        <v>1</v>
      </c>
      <c r="H7" s="19" t="n">
        <v>17.92</v>
      </c>
      <c r="I7" s="20">
        <f>E7*G7*H7</f>
        <v/>
      </c>
      <c r="J7" s="21">
        <f>I7*Supuestos!$B$28</f>
        <v/>
      </c>
      <c r="K7" s="21">
        <f>J7*12</f>
        <v/>
      </c>
      <c r="L7" s="22" t="inlineStr">
        <is>
          <t>https://azure.microsoft.com/es-es/pricing/details/managed-disks/</t>
        </is>
      </c>
    </row>
    <row r="8">
      <c r="A8" s="16" t="inlineStr">
        <is>
          <t>Computación</t>
        </is>
      </c>
      <c r="B8" s="17" t="inlineStr">
        <is>
          <t>Azure Container Registry</t>
        </is>
      </c>
      <c r="C8" s="17" t="inlineStr">
        <is>
          <t>Premium + 1 réplica geográfica</t>
        </is>
      </c>
      <c r="D8" s="16" t="inlineStr">
        <is>
          <t>East US 2 + Central US</t>
        </is>
      </c>
      <c r="E8" s="18" t="n">
        <v>2</v>
      </c>
      <c r="F8" s="16" t="inlineStr">
        <is>
          <t>registro-día</t>
        </is>
      </c>
      <c r="G8" s="18">
        <f>Supuestos!$B$5</f>
        <v/>
      </c>
      <c r="H8" s="19" t="n">
        <v>1.6666</v>
      </c>
      <c r="I8" s="20">
        <f>E8*G8*H8</f>
        <v/>
      </c>
      <c r="J8" s="21">
        <f>I8*Supuestos!$B$28</f>
        <v/>
      </c>
      <c r="K8" s="21">
        <f>J8*12</f>
        <v/>
      </c>
      <c r="L8" s="22" t="inlineStr">
        <is>
          <t>https://azure.microsoft.com/es-es/pricing/details/container-registry/</t>
        </is>
      </c>
    </row>
    <row r="9">
      <c r="A9" s="23" t="inlineStr">
        <is>
          <t>Almacenamiento y Bases de Datos</t>
        </is>
      </c>
      <c r="B9" s="24" t="inlineStr">
        <is>
          <t>PostgreSQL Flexible Server</t>
        </is>
      </c>
      <c r="C9" s="24" t="inlineStr">
        <is>
          <t>General Purpose D4ds v5, 4 vCore, HA zona-redundante (primario + standby)</t>
        </is>
      </c>
      <c r="D9" s="23" t="inlineStr">
        <is>
          <t>East US 2</t>
        </is>
      </c>
      <c r="E9" s="25" t="n">
        <v>2</v>
      </c>
      <c r="F9" s="23" t="inlineStr">
        <is>
          <t>servidor-hora</t>
        </is>
      </c>
      <c r="G9" s="25">
        <f>Supuestos!$B$4</f>
        <v/>
      </c>
      <c r="H9" s="26" t="n">
        <v>0.356</v>
      </c>
      <c r="I9" s="27">
        <f>E9*G9*H9</f>
        <v/>
      </c>
      <c r="J9" s="28">
        <f>I9*Supuestos!$B$28</f>
        <v/>
      </c>
      <c r="K9" s="28">
        <f>J9*12</f>
        <v/>
      </c>
      <c r="L9" s="29" t="inlineStr">
        <is>
          <t>https://azure.microsoft.com/es-es/pricing/details/postgresql/flexible-server/</t>
        </is>
      </c>
    </row>
    <row r="10">
      <c r="A10" s="23" t="inlineStr">
        <is>
          <t>Almacenamiento y Bases de Datos</t>
        </is>
      </c>
      <c r="B10" s="24" t="inlineStr">
        <is>
          <t>PostgreSQL - almacenamiento</t>
        </is>
      </c>
      <c r="C10" s="24" t="inlineStr">
        <is>
          <t>SSD Premium, se duplica por HA</t>
        </is>
      </c>
      <c r="D10" s="23" t="inlineStr">
        <is>
          <t>East US 2</t>
        </is>
      </c>
      <c r="E10" s="25" t="n">
        <v>2</v>
      </c>
      <c r="F10" s="23" t="inlineStr">
        <is>
          <t>GB-mes</t>
        </is>
      </c>
      <c r="G10" s="25">
        <f>Supuestos!$B$18</f>
        <v/>
      </c>
      <c r="H10" s="26" t="n">
        <v>0.115</v>
      </c>
      <c r="I10" s="27">
        <f>E10*G10*H10</f>
        <v/>
      </c>
      <c r="J10" s="28">
        <f>I10*Supuestos!$B$28</f>
        <v/>
      </c>
      <c r="K10" s="28">
        <f>J10*12</f>
        <v/>
      </c>
      <c r="L10" s="29" t="inlineStr">
        <is>
          <t>https://azure.microsoft.com/es-es/pricing/details/postgresql/flexible-server/</t>
        </is>
      </c>
    </row>
    <row r="11">
      <c r="A11" s="23" t="inlineStr">
        <is>
          <t>Almacenamiento y Bases de Datos</t>
        </is>
      </c>
      <c r="B11" s="24" t="inlineStr">
        <is>
          <t>PostgreSQL - réplica geográfica</t>
        </is>
      </c>
      <c r="C11" s="24" t="inlineStr">
        <is>
          <t>General Purpose 4 vCore, réplica de lectura</t>
        </is>
      </c>
      <c r="D11" s="23" t="inlineStr">
        <is>
          <t>Central US</t>
        </is>
      </c>
      <c r="E11" s="25" t="n">
        <v>1</v>
      </c>
      <c r="F11" s="23" t="inlineStr">
        <is>
          <t>servidor-hora</t>
        </is>
      </c>
      <c r="G11" s="25">
        <f>Supuestos!$B$4</f>
        <v/>
      </c>
      <c r="H11" s="26" t="n">
        <v>0.356</v>
      </c>
      <c r="I11" s="27">
        <f>E11*G11*H11</f>
        <v/>
      </c>
      <c r="J11" s="28">
        <f>I11*Supuestos!$B$28</f>
        <v/>
      </c>
      <c r="K11" s="28">
        <f>J11*12</f>
        <v/>
      </c>
      <c r="L11" s="29" t="inlineStr">
        <is>
          <t>https://learn.microsoft.com/azure/postgresql/flexible-server/concepts-read-replicas</t>
        </is>
      </c>
    </row>
    <row r="12">
      <c r="A12" s="23" t="inlineStr">
        <is>
          <t>Almacenamiento y Bases de Datos</t>
        </is>
      </c>
      <c r="B12" s="24" t="inlineStr">
        <is>
          <t>PostgreSQL - almacenamiento réplica</t>
        </is>
      </c>
      <c r="C12" s="24" t="inlineStr">
        <is>
          <t>SSD Premium</t>
        </is>
      </c>
      <c r="D12" s="23" t="inlineStr">
        <is>
          <t>Central US</t>
        </is>
      </c>
      <c r="E12" s="25" t="n">
        <v>1</v>
      </c>
      <c r="F12" s="23" t="inlineStr">
        <is>
          <t>GB-mes</t>
        </is>
      </c>
      <c r="G12" s="25">
        <f>Supuestos!$B$18</f>
        <v/>
      </c>
      <c r="H12" s="26" t="n">
        <v>0.115</v>
      </c>
      <c r="I12" s="27">
        <f>E12*G12*H12</f>
        <v/>
      </c>
      <c r="J12" s="28">
        <f>I12*Supuestos!$B$28</f>
        <v/>
      </c>
      <c r="K12" s="28">
        <f>J12*12</f>
        <v/>
      </c>
      <c r="L12" s="29" t="inlineStr">
        <is>
          <t>https://azure.microsoft.com/es-es/pricing/details/postgresql/flexible-server/</t>
        </is>
      </c>
    </row>
    <row r="13">
      <c r="A13" s="23" t="inlineStr">
        <is>
          <t>Almacenamiento y Bases de Datos</t>
        </is>
      </c>
      <c r="B13" s="24" t="inlineStr">
        <is>
          <t>Azure Cache for Redis</t>
        </is>
      </c>
      <c r="C13" s="24" t="inlineStr">
        <is>
          <t>Premium P1 (6 GB, réplica incluida)</t>
        </is>
      </c>
      <c r="D13" s="23" t="inlineStr">
        <is>
          <t>East US 2</t>
        </is>
      </c>
      <c r="E13" s="25" t="n">
        <v>1</v>
      </c>
      <c r="F13" s="23" t="inlineStr">
        <is>
          <t>caché-hora</t>
        </is>
      </c>
      <c r="G13" s="25">
        <f>Supuestos!$B$4</f>
        <v/>
      </c>
      <c r="H13" s="26" t="n">
        <v>0.555</v>
      </c>
      <c r="I13" s="27">
        <f>E13*G13*H13</f>
        <v/>
      </c>
      <c r="J13" s="28">
        <f>I13*Supuestos!$B$28</f>
        <v/>
      </c>
      <c r="K13" s="28">
        <f>J13*12</f>
        <v/>
      </c>
      <c r="L13" s="29" t="inlineStr">
        <is>
          <t>https://azure.microsoft.com/es-es/pricing/details/cache/</t>
        </is>
      </c>
    </row>
    <row r="14">
      <c r="A14" s="23" t="inlineStr">
        <is>
          <t>Almacenamiento y Bases de Datos</t>
        </is>
      </c>
      <c r="B14" s="24" t="inlineStr">
        <is>
          <t>Blob Storage</t>
        </is>
      </c>
      <c r="C14" s="24" t="inlineStr">
        <is>
          <t>Hot ZRS</t>
        </is>
      </c>
      <c r="D14" s="23" t="inlineStr">
        <is>
          <t>East US 2</t>
        </is>
      </c>
      <c r="E14" s="25" t="n">
        <v>1</v>
      </c>
      <c r="F14" s="23" t="inlineStr">
        <is>
          <t>GB-mes</t>
        </is>
      </c>
      <c r="G14" s="25">
        <f>Supuestos!$B$17</f>
        <v/>
      </c>
      <c r="H14" s="26" t="n">
        <v>0.023</v>
      </c>
      <c r="I14" s="27">
        <f>E14*G14*H14</f>
        <v/>
      </c>
      <c r="J14" s="28">
        <f>I14*Supuestos!$B$28</f>
        <v/>
      </c>
      <c r="K14" s="28">
        <f>J14*12</f>
        <v/>
      </c>
      <c r="L14" s="29" t="inlineStr">
        <is>
          <t>https://azure.microsoft.com/es-es/pricing/details/storage/blobs/</t>
        </is>
      </c>
    </row>
    <row r="15">
      <c r="A15" s="23" t="inlineStr">
        <is>
          <t>Almacenamiento y Bases de Datos</t>
        </is>
      </c>
      <c r="B15" s="24" t="inlineStr">
        <is>
          <t>Blob Storage - copia de recuperación</t>
        </is>
      </c>
      <c r="C15" s="24" t="inlineStr">
        <is>
          <t>Hot GRS (replicación de objetos)</t>
        </is>
      </c>
      <c r="D15" s="23" t="inlineStr">
        <is>
          <t>Central US</t>
        </is>
      </c>
      <c r="E15" s="25" t="n">
        <v>1</v>
      </c>
      <c r="F15" s="23" t="inlineStr">
        <is>
          <t>GB-mes</t>
        </is>
      </c>
      <c r="G15" s="25">
        <f>Supuestos!$B$17</f>
        <v/>
      </c>
      <c r="H15" s="26" t="n">
        <v>0.0368</v>
      </c>
      <c r="I15" s="27">
        <f>E15*G15*H15</f>
        <v/>
      </c>
      <c r="J15" s="28">
        <f>I15*Supuestos!$B$28</f>
        <v/>
      </c>
      <c r="K15" s="28">
        <f>J15*12</f>
        <v/>
      </c>
      <c r="L15" s="29" t="inlineStr">
        <is>
          <t>https://azure.microsoft.com/es-es/pricing/details/storage/blobs/</t>
        </is>
      </c>
    </row>
    <row r="16">
      <c r="A16" s="23" t="inlineStr">
        <is>
          <t>Almacenamiento y Bases de Datos</t>
        </is>
      </c>
      <c r="B16" s="24" t="inlineStr">
        <is>
          <t>Health Data Services - FHIR</t>
        </is>
      </c>
      <c r="C16" s="24" t="inlineStr">
        <is>
          <t>Almacenamiento estructurado</t>
        </is>
      </c>
      <c r="D16" s="23" t="inlineStr">
        <is>
          <t>East US 2</t>
        </is>
      </c>
      <c r="E16" s="25" t="n">
        <v>1</v>
      </c>
      <c r="F16" s="23" t="inlineStr">
        <is>
          <t>GB-mes</t>
        </is>
      </c>
      <c r="G16" s="25">
        <f>Supuestos!$B$16</f>
        <v/>
      </c>
      <c r="H16" s="26" t="n">
        <v>0.39</v>
      </c>
      <c r="I16" s="27">
        <f>E16*G16*H16</f>
        <v/>
      </c>
      <c r="J16" s="28">
        <f>I16*Supuestos!$B$28</f>
        <v/>
      </c>
      <c r="K16" s="28">
        <f>J16*12</f>
        <v/>
      </c>
      <c r="L16" s="29" t="inlineStr">
        <is>
          <t>https://azure.microsoft.com/es-es/pricing/details/health-data-services/</t>
        </is>
      </c>
    </row>
    <row r="17">
      <c r="A17" s="23" t="inlineStr">
        <is>
          <t>Almacenamiento y Bases de Datos</t>
        </is>
      </c>
      <c r="B17" s="24" t="inlineStr">
        <is>
          <t>Health Data Services - FHIR</t>
        </is>
      </c>
      <c r="C17" s="24" t="inlineStr">
        <is>
          <t>Peticiones API (50K gratis)</t>
        </is>
      </c>
      <c r="D17" s="23" t="inlineStr">
        <is>
          <t>East US 2</t>
        </is>
      </c>
      <c r="E17" s="25" t="n">
        <v>1</v>
      </c>
      <c r="F17" s="23" t="inlineStr">
        <is>
          <t>100K peticiones</t>
        </is>
      </c>
      <c r="G17" s="25">
        <f>MAX(0,(Supuestos!$B$8*Supuestos!$B$15-50000)/100000)</f>
        <v/>
      </c>
      <c r="H17" s="26" t="n">
        <v>0.54</v>
      </c>
      <c r="I17" s="27">
        <f>E17*G17*H17</f>
        <v/>
      </c>
      <c r="J17" s="28">
        <f>I17*Supuestos!$B$28</f>
        <v/>
      </c>
      <c r="K17" s="28">
        <f>J17*12</f>
        <v/>
      </c>
      <c r="L17" s="29" t="inlineStr">
        <is>
          <t>https://azure.microsoft.com/es-es/pricing/details/health-data-services/</t>
        </is>
      </c>
    </row>
    <row r="18">
      <c r="A18" s="16" t="inlineStr">
        <is>
          <t>Redes</t>
        </is>
      </c>
      <c r="B18" s="17" t="inlineStr">
        <is>
          <t>Azure Front Door</t>
        </is>
      </c>
      <c r="C18" s="17" t="inlineStr">
        <is>
          <t>Premium - tarifa base (incluye WAF administrado)</t>
        </is>
      </c>
      <c r="D18" s="16" t="inlineStr">
        <is>
          <t>Global</t>
        </is>
      </c>
      <c r="E18" s="18" t="n">
        <v>1</v>
      </c>
      <c r="F18" s="16" t="inlineStr">
        <is>
          <t>mes</t>
        </is>
      </c>
      <c r="G18" s="18" t="n">
        <v>1</v>
      </c>
      <c r="H18" s="19" t="n">
        <v>330</v>
      </c>
      <c r="I18" s="20">
        <f>E18*G18*H18</f>
        <v/>
      </c>
      <c r="J18" s="21">
        <f>I18*Supuestos!$B$28</f>
        <v/>
      </c>
      <c r="K18" s="21">
        <f>J18*12</f>
        <v/>
      </c>
      <c r="L18" s="22" t="inlineStr">
        <is>
          <t>https://azure.microsoft.com/es-es/pricing/details/frontdoor/</t>
        </is>
      </c>
    </row>
    <row r="19">
      <c r="A19" s="16" t="inlineStr">
        <is>
          <t>Redes</t>
        </is>
      </c>
      <c r="B19" s="17" t="inlineStr">
        <is>
          <t>Azure Front Door</t>
        </is>
      </c>
      <c r="C19" s="17" t="inlineStr">
        <is>
          <t>Premium - solicitudes</t>
        </is>
      </c>
      <c r="D19" s="16" t="inlineStr">
        <is>
          <t>Global</t>
        </is>
      </c>
      <c r="E19" s="18" t="n">
        <v>1</v>
      </c>
      <c r="F19" s="16" t="inlineStr">
        <is>
          <t>10K solicitudes</t>
        </is>
      </c>
      <c r="G19" s="18">
        <f>Supuestos!$B$12/10000</f>
        <v/>
      </c>
      <c r="H19" s="19" t="n">
        <v>0.015</v>
      </c>
      <c r="I19" s="20">
        <f>E19*G19*H19</f>
        <v/>
      </c>
      <c r="J19" s="21">
        <f>I19*Supuestos!$B$28</f>
        <v/>
      </c>
      <c r="K19" s="21">
        <f>J19*12</f>
        <v/>
      </c>
      <c r="L19" s="22" t="inlineStr">
        <is>
          <t>https://azure.microsoft.com/es-es/pricing/details/frontdoor/</t>
        </is>
      </c>
    </row>
    <row r="20">
      <c r="A20" s="16" t="inlineStr">
        <is>
          <t>Redes</t>
        </is>
      </c>
      <c r="B20" s="17" t="inlineStr">
        <is>
          <t>Azure Front Door</t>
        </is>
      </c>
      <c r="C20" s="17" t="inlineStr">
        <is>
          <t>Premium - salida de datos (Zona 1)</t>
        </is>
      </c>
      <c r="D20" s="16" t="inlineStr">
        <is>
          <t>Global</t>
        </is>
      </c>
      <c r="E20" s="18" t="n">
        <v>1</v>
      </c>
      <c r="F20" s="16" t="inlineStr">
        <is>
          <t>GB</t>
        </is>
      </c>
      <c r="G20" s="18">
        <f>Supuestos!$B$20</f>
        <v/>
      </c>
      <c r="H20" s="19" t="n">
        <v>0.0825</v>
      </c>
      <c r="I20" s="20">
        <f>E20*G20*H20</f>
        <v/>
      </c>
      <c r="J20" s="21">
        <f>I20*Supuestos!$B$28</f>
        <v/>
      </c>
      <c r="K20" s="21">
        <f>J20*12</f>
        <v/>
      </c>
      <c r="L20" s="22" t="inlineStr">
        <is>
          <t>https://azure.microsoft.com/es-es/pricing/details/frontdoor/</t>
        </is>
      </c>
    </row>
    <row r="21">
      <c r="A21" s="16" t="inlineStr">
        <is>
          <t>Redes</t>
        </is>
      </c>
      <c r="B21" s="17" t="inlineStr">
        <is>
          <t>API Management</t>
        </is>
      </c>
      <c r="C21" s="17" t="inlineStr">
        <is>
          <t>Standard v2 (1 unidad, 50M llamadas incluidas)</t>
        </is>
      </c>
      <c r="D21" s="16" t="inlineStr">
        <is>
          <t>East US 2</t>
        </is>
      </c>
      <c r="E21" s="18" t="n">
        <v>1</v>
      </c>
      <c r="F21" s="16" t="inlineStr">
        <is>
          <t>unidad-hora</t>
        </is>
      </c>
      <c r="G21" s="18">
        <f>Supuestos!$B$4</f>
        <v/>
      </c>
      <c r="H21" s="19" t="n">
        <v>0.9589</v>
      </c>
      <c r="I21" s="20">
        <f>E21*G21*H21</f>
        <v/>
      </c>
      <c r="J21" s="21">
        <f>I21*Supuestos!$B$28</f>
        <v/>
      </c>
      <c r="K21" s="21">
        <f>J21*12</f>
        <v/>
      </c>
      <c r="L21" s="22" t="inlineStr">
        <is>
          <t>https://azure.microsoft.com/es-es/pricing/details/api-management/</t>
        </is>
      </c>
    </row>
    <row r="22">
      <c r="A22" s="16" t="inlineStr">
        <is>
          <t>Redes</t>
        </is>
      </c>
      <c r="B22" s="17" t="inlineStr">
        <is>
          <t>API Management</t>
        </is>
      </c>
      <c r="C22" s="17" t="inlineStr">
        <is>
          <t>Standard v2 (1 unidad, región pasiva)</t>
        </is>
      </c>
      <c r="D22" s="16" t="inlineStr">
        <is>
          <t>Central US</t>
        </is>
      </c>
      <c r="E22" s="18" t="n">
        <v>1</v>
      </c>
      <c r="F22" s="16" t="inlineStr">
        <is>
          <t>unidad-hora</t>
        </is>
      </c>
      <c r="G22" s="18">
        <f>Supuestos!$B$4</f>
        <v/>
      </c>
      <c r="H22" s="19" t="n">
        <v>0.9589</v>
      </c>
      <c r="I22" s="20">
        <f>E22*G22*H22</f>
        <v/>
      </c>
      <c r="J22" s="21">
        <f>I22*Supuestos!$B$28</f>
        <v/>
      </c>
      <c r="K22" s="21">
        <f>J22*12</f>
        <v/>
      </c>
      <c r="L22" s="22" t="inlineStr">
        <is>
          <t>https://azure.microsoft.com/es-es/pricing/details/api-management/</t>
        </is>
      </c>
    </row>
    <row r="23">
      <c r="A23" s="16" t="inlineStr">
        <is>
          <t>Redes</t>
        </is>
      </c>
      <c r="B23" s="17" t="inlineStr">
        <is>
          <t>Private Endpoints</t>
        </is>
      </c>
      <c r="C23" s="17" t="inlineStr">
        <is>
          <t>PostgreSQL, Redis, Service Bus, Key Vault, Blob, FHIR, OpenAI, ACR, réplicas</t>
        </is>
      </c>
      <c r="D23" s="16" t="inlineStr">
        <is>
          <t>Ambas</t>
        </is>
      </c>
      <c r="E23" s="18" t="n">
        <v>10</v>
      </c>
      <c r="F23" s="16" t="inlineStr">
        <is>
          <t>endpoint-hora</t>
        </is>
      </c>
      <c r="G23" s="18">
        <f>Supuestos!$B$4</f>
        <v/>
      </c>
      <c r="H23" s="19" t="n">
        <v>0.01</v>
      </c>
      <c r="I23" s="20">
        <f>E23*G23*H23</f>
        <v/>
      </c>
      <c r="J23" s="21">
        <f>I23*Supuestos!$B$28</f>
        <v/>
      </c>
      <c r="K23" s="21">
        <f>J23*12</f>
        <v/>
      </c>
      <c r="L23" s="22" t="inlineStr">
        <is>
          <t>https://azure.microsoft.com/es-es/pricing/details/private-link/</t>
        </is>
      </c>
    </row>
    <row r="24">
      <c r="A24" s="16" t="inlineStr">
        <is>
          <t>Redes</t>
        </is>
      </c>
      <c r="B24" s="17" t="inlineStr">
        <is>
          <t>Private Link - datos procesados</t>
        </is>
      </c>
      <c r="C24" s="17" t="inlineStr">
        <is>
          <t>Entrada + salida</t>
        </is>
      </c>
      <c r="D24" s="16" t="inlineStr">
        <is>
          <t>Ambas</t>
        </is>
      </c>
      <c r="E24" s="18" t="n">
        <v>1</v>
      </c>
      <c r="F24" s="16" t="inlineStr">
        <is>
          <t>GB</t>
        </is>
      </c>
      <c r="G24" s="18" t="n">
        <v>1000</v>
      </c>
      <c r="H24" s="19" t="n">
        <v>0.01</v>
      </c>
      <c r="I24" s="20">
        <f>E24*G24*H24</f>
        <v/>
      </c>
      <c r="J24" s="21">
        <f>I24*Supuestos!$B$28</f>
        <v/>
      </c>
      <c r="K24" s="21">
        <f>J24*12</f>
        <v/>
      </c>
      <c r="L24" s="22" t="inlineStr">
        <is>
          <t>https://azure.microsoft.com/es-es/pricing/details/private-link/</t>
        </is>
      </c>
    </row>
    <row r="25">
      <c r="A25" s="16" t="inlineStr">
        <is>
          <t>Redes</t>
        </is>
      </c>
      <c r="B25" s="17" t="inlineStr">
        <is>
          <t>Transferencia entre regiones</t>
        </is>
      </c>
      <c r="C25" s="17" t="inlineStr">
        <is>
          <t>Dentro de Norteamérica</t>
        </is>
      </c>
      <c r="D25" s="16" t="inlineStr">
        <is>
          <t>Ambas</t>
        </is>
      </c>
      <c r="E25" s="18" t="n">
        <v>1</v>
      </c>
      <c r="F25" s="16" t="inlineStr">
        <is>
          <t>GB</t>
        </is>
      </c>
      <c r="G25" s="18">
        <f>Supuestos!$B$24</f>
        <v/>
      </c>
      <c r="H25" s="19" t="n">
        <v>0.02</v>
      </c>
      <c r="I25" s="20">
        <f>E25*G25*H25</f>
        <v/>
      </c>
      <c r="J25" s="21">
        <f>I25*Supuestos!$B$28</f>
        <v/>
      </c>
      <c r="K25" s="21">
        <f>J25*12</f>
        <v/>
      </c>
      <c r="L25" s="22" t="inlineStr">
        <is>
          <t>https://azure.microsoft.com/es-es/pricing/details/bandwidth/</t>
        </is>
      </c>
    </row>
    <row r="26">
      <c r="A26" s="16" t="inlineStr">
        <is>
          <t>Redes</t>
        </is>
      </c>
      <c r="B26" s="17" t="inlineStr">
        <is>
          <t>Azure DNS</t>
        </is>
      </c>
      <c r="C26" s="17" t="inlineStr">
        <is>
          <t>1 zona pública + 10M consultas</t>
        </is>
      </c>
      <c r="D26" s="16" t="inlineStr">
        <is>
          <t>Global</t>
        </is>
      </c>
      <c r="E26" s="18" t="n">
        <v>1</v>
      </c>
      <c r="F26" s="16" t="inlineStr">
        <is>
          <t>mes</t>
        </is>
      </c>
      <c r="G26" s="18" t="n">
        <v>1</v>
      </c>
      <c r="H26" s="19" t="n">
        <v>4.5</v>
      </c>
      <c r="I26" s="20">
        <f>E26*G26*H26</f>
        <v/>
      </c>
      <c r="J26" s="21">
        <f>I26*Supuestos!$B$28</f>
        <v/>
      </c>
      <c r="K26" s="21">
        <f>J26*12</f>
        <v/>
      </c>
      <c r="L26" s="22" t="inlineStr">
        <is>
          <t>https://azure.microsoft.com/es-es/pricing/details/dns/</t>
        </is>
      </c>
    </row>
    <row r="27">
      <c r="A27" s="23" t="inlineStr">
        <is>
          <t>Seguridad</t>
        </is>
      </c>
      <c r="B27" s="24" t="inlineStr">
        <is>
          <t>Microsoft Entra ID</t>
        </is>
      </c>
      <c r="C27" s="24" t="inlineStr">
        <is>
          <t>Federación OIDC con el sistema corporativo (licencias existentes de la compañía)</t>
        </is>
      </c>
      <c r="D27" s="23" t="inlineStr">
        <is>
          <t>Global</t>
        </is>
      </c>
      <c r="E27" s="25">
        <f>Supuestos!$B$6+Supuestos!$B$7</f>
        <v/>
      </c>
      <c r="F27" s="23" t="inlineStr">
        <is>
          <t>usuario-mes</t>
        </is>
      </c>
      <c r="G27" s="25" t="n">
        <v>1</v>
      </c>
      <c r="H27" s="26" t="n">
        <v>0</v>
      </c>
      <c r="I27" s="27">
        <f>E27*G27*H27</f>
        <v/>
      </c>
      <c r="J27" s="28">
        <f>I27*Supuestos!$B$28</f>
        <v/>
      </c>
      <c r="K27" s="28">
        <f>J27*12</f>
        <v/>
      </c>
      <c r="L27" s="29" t="inlineStr">
        <is>
          <t>https://www.microsoft.com/es-es/security/business/microsoft-entra-pricing</t>
        </is>
      </c>
    </row>
    <row r="28">
      <c r="A28" s="23" t="inlineStr">
        <is>
          <t>Seguridad</t>
        </is>
      </c>
      <c r="B28" s="24" t="inlineStr">
        <is>
          <t>Azure Key Vault</t>
        </is>
      </c>
      <c r="C28" s="24" t="inlineStr">
        <is>
          <t>Standard, 2 bóvedas (1M operaciones)</t>
        </is>
      </c>
      <c r="D28" s="23" t="inlineStr">
        <is>
          <t>Ambas</t>
        </is>
      </c>
      <c r="E28" s="25" t="n">
        <v>1</v>
      </c>
      <c r="F28" s="23" t="inlineStr">
        <is>
          <t>10K operaciones</t>
        </is>
      </c>
      <c r="G28" s="25" t="n">
        <v>100</v>
      </c>
      <c r="H28" s="26" t="n">
        <v>0.03</v>
      </c>
      <c r="I28" s="27">
        <f>E28*G28*H28</f>
        <v/>
      </c>
      <c r="J28" s="28">
        <f>I28*Supuestos!$B$28</f>
        <v/>
      </c>
      <c r="K28" s="28">
        <f>J28*12</f>
        <v/>
      </c>
      <c r="L28" s="29" t="inlineStr">
        <is>
          <t>https://azure.microsoft.com/es-es/pricing/details/key-vault/</t>
        </is>
      </c>
    </row>
    <row r="29">
      <c r="A29" s="23" t="inlineStr">
        <is>
          <t>Seguridad</t>
        </is>
      </c>
      <c r="B29" s="24" t="inlineStr">
        <is>
          <t>Defender for Containers</t>
        </is>
      </c>
      <c r="C29" s="24" t="inlineStr">
        <is>
          <t>Protección de AKS por vCore</t>
        </is>
      </c>
      <c r="D29" s="23" t="inlineStr">
        <is>
          <t>Ambas</t>
        </is>
      </c>
      <c r="E29" s="25">
        <f>(Supuestos!$B$25+Supuestos!$B$26)*Supuestos!$B$27</f>
        <v/>
      </c>
      <c r="F29" s="23" t="inlineStr">
        <is>
          <t>vCore-hora</t>
        </is>
      </c>
      <c r="G29" s="25">
        <f>Supuestos!$B$4</f>
        <v/>
      </c>
      <c r="H29" s="26" t="n">
        <v>0.00941</v>
      </c>
      <c r="I29" s="27">
        <f>E29*G29*H29</f>
        <v/>
      </c>
      <c r="J29" s="28">
        <f>I29*Supuestos!$B$28</f>
        <v/>
      </c>
      <c r="K29" s="28">
        <f>J29*12</f>
        <v/>
      </c>
      <c r="L29" s="29" t="inlineStr">
        <is>
          <t>https://azure.microsoft.com/es-es/pricing/details/defender-for-cloud/</t>
        </is>
      </c>
    </row>
    <row r="30">
      <c r="A30" s="23" t="inlineStr">
        <is>
          <t>Seguridad</t>
        </is>
      </c>
      <c r="B30" s="24" t="inlineStr">
        <is>
          <t>Defender para bases de datos</t>
        </is>
      </c>
      <c r="C30" s="24" t="inlineStr">
        <is>
          <t>PostgreSQL (primario + réplica)</t>
        </is>
      </c>
      <c r="D30" s="23" t="inlineStr">
        <is>
          <t>Ambas</t>
        </is>
      </c>
      <c r="E30" s="25" t="n">
        <v>2</v>
      </c>
      <c r="F30" s="23" t="inlineStr">
        <is>
          <t>servidor-mes</t>
        </is>
      </c>
      <c r="G30" s="25" t="n">
        <v>1</v>
      </c>
      <c r="H30" s="26" t="n">
        <v>15</v>
      </c>
      <c r="I30" s="27">
        <f>E30*G30*H30</f>
        <v/>
      </c>
      <c r="J30" s="28">
        <f>I30*Supuestos!$B$28</f>
        <v/>
      </c>
      <c r="K30" s="28">
        <f>J30*12</f>
        <v/>
      </c>
      <c r="L30" s="29" t="inlineStr">
        <is>
          <t>https://azure.microsoft.com/es-es/pricing/details/defender-for-cloud/</t>
        </is>
      </c>
    </row>
    <row r="31">
      <c r="A31" s="23" t="inlineStr">
        <is>
          <t>Seguridad</t>
        </is>
      </c>
      <c r="B31" s="24" t="inlineStr">
        <is>
          <t>Certificados TLS</t>
        </is>
      </c>
      <c r="C31" s="24" t="inlineStr">
        <is>
          <t>Administrados por Front Door</t>
        </is>
      </c>
      <c r="D31" s="23" t="inlineStr">
        <is>
          <t>Global</t>
        </is>
      </c>
      <c r="E31" s="25" t="n">
        <v>1</v>
      </c>
      <c r="F31" s="23" t="inlineStr">
        <is>
          <t>mes</t>
        </is>
      </c>
      <c r="G31" s="25" t="n">
        <v>1</v>
      </c>
      <c r="H31" s="26" t="n">
        <v>0</v>
      </c>
      <c r="I31" s="27">
        <f>E31*G31*H31</f>
        <v/>
      </c>
      <c r="J31" s="28">
        <f>I31*Supuestos!$B$28</f>
        <v/>
      </c>
      <c r="K31" s="28">
        <f>J31*12</f>
        <v/>
      </c>
      <c r="L31" s="29" t="inlineStr">
        <is>
          <t>https://learn.microsoft.com/azure/frontdoor/domain</t>
        </is>
      </c>
    </row>
    <row r="32">
      <c r="A32" s="16" t="inlineStr">
        <is>
          <t>Monitoreo y Logs</t>
        </is>
      </c>
      <c r="B32" s="17" t="inlineStr">
        <is>
          <t>Log Analytics + Application Insights</t>
        </is>
      </c>
      <c r="C32" s="17" t="inlineStr">
        <is>
          <t>Analytics Logs (5 GB gratis, 31 días de retención)</t>
        </is>
      </c>
      <c r="D32" s="16" t="inlineStr">
        <is>
          <t>East US 2</t>
        </is>
      </c>
      <c r="E32" s="18" t="n">
        <v>1</v>
      </c>
      <c r="F32" s="16" t="inlineStr">
        <is>
          <t>GB</t>
        </is>
      </c>
      <c r="G32" s="18">
        <f>MAX(0,Supuestos!$B$19-5)</f>
        <v/>
      </c>
      <c r="H32" s="19" t="n">
        <v>2.76</v>
      </c>
      <c r="I32" s="20">
        <f>E32*G32*H32</f>
        <v/>
      </c>
      <c r="J32" s="21">
        <f>I32*Supuestos!$B$28</f>
        <v/>
      </c>
      <c r="K32" s="21">
        <f>J32*12</f>
        <v/>
      </c>
      <c r="L32" s="22" t="inlineStr">
        <is>
          <t>https://azure.microsoft.com/es-es/pricing/details/monitor/</t>
        </is>
      </c>
    </row>
    <row r="33">
      <c r="A33" s="16" t="inlineStr">
        <is>
          <t>Monitoreo y Logs</t>
        </is>
      </c>
      <c r="B33" s="17" t="inlineStr">
        <is>
          <t>Managed Prometheus</t>
        </is>
      </c>
      <c r="C33" s="17" t="inlineStr">
        <is>
          <t>Ingesta de métricas</t>
        </is>
      </c>
      <c r="D33" s="16" t="inlineStr">
        <is>
          <t>East US 2</t>
        </is>
      </c>
      <c r="E33" s="18" t="n">
        <v>1</v>
      </c>
      <c r="F33" s="16" t="inlineStr">
        <is>
          <t>10M muestras</t>
        </is>
      </c>
      <c r="G33" s="18">
        <f>Supuestos!$B$23/10</f>
        <v/>
      </c>
      <c r="H33" s="19" t="n">
        <v>0.16</v>
      </c>
      <c r="I33" s="20">
        <f>E33*G33*H33</f>
        <v/>
      </c>
      <c r="J33" s="21">
        <f>I33*Supuestos!$B$28</f>
        <v/>
      </c>
      <c r="K33" s="21">
        <f>J33*12</f>
        <v/>
      </c>
      <c r="L33" s="22" t="inlineStr">
        <is>
          <t>https://azure.microsoft.com/es-es/pricing/details/monitor/</t>
        </is>
      </c>
    </row>
    <row r="34">
      <c r="A34" s="16" t="inlineStr">
        <is>
          <t>Monitoreo y Logs</t>
        </is>
      </c>
      <c r="B34" s="17" t="inlineStr">
        <is>
          <t>Azure Managed Grafana</t>
        </is>
      </c>
      <c r="C34" s="17" t="inlineStr">
        <is>
          <t>Standard (instancia)</t>
        </is>
      </c>
      <c r="D34" s="16" t="inlineStr">
        <is>
          <t>East US 2</t>
        </is>
      </c>
      <c r="E34" s="18" t="n">
        <v>1</v>
      </c>
      <c r="F34" s="16" t="inlineStr">
        <is>
          <t>hora</t>
        </is>
      </c>
      <c r="G34" s="18">
        <f>Supuestos!$B$4</f>
        <v/>
      </c>
      <c r="H34" s="19" t="n">
        <v>0.034246</v>
      </c>
      <c r="I34" s="20">
        <f>E34*G34*H34</f>
        <v/>
      </c>
      <c r="J34" s="21">
        <f>I34*Supuestos!$B$28</f>
        <v/>
      </c>
      <c r="K34" s="21">
        <f>J34*12</f>
        <v/>
      </c>
      <c r="L34" s="22" t="inlineStr">
        <is>
          <t>https://azure.microsoft.com/es-es/pricing/details/managed-grafana/</t>
        </is>
      </c>
    </row>
    <row r="35">
      <c r="A35" s="16" t="inlineStr">
        <is>
          <t>Monitoreo y Logs</t>
        </is>
      </c>
      <c r="B35" s="17" t="inlineStr">
        <is>
          <t>Azure Managed Grafana</t>
        </is>
      </c>
      <c r="C35" s="17" t="inlineStr">
        <is>
          <t>Usuarios activos</t>
        </is>
      </c>
      <c r="D35" s="16" t="inlineStr">
        <is>
          <t>East US 2</t>
        </is>
      </c>
      <c r="E35" s="18" t="n">
        <v>5</v>
      </c>
      <c r="F35" s="16" t="inlineStr">
        <is>
          <t>usuario-mes</t>
        </is>
      </c>
      <c r="G35" s="18" t="n">
        <v>1</v>
      </c>
      <c r="H35" s="19" t="n">
        <v>6</v>
      </c>
      <c r="I35" s="20">
        <f>E35*G35*H35</f>
        <v/>
      </c>
      <c r="J35" s="21">
        <f>I35*Supuestos!$B$28</f>
        <v/>
      </c>
      <c r="K35" s="21">
        <f>J35*12</f>
        <v/>
      </c>
      <c r="L35" s="22" t="inlineStr">
        <is>
          <t>https://azure.microsoft.com/es-es/pricing/details/managed-grafana/</t>
        </is>
      </c>
    </row>
    <row r="36">
      <c r="A36" s="16" t="inlineStr">
        <is>
          <t>Monitoreo y Logs</t>
        </is>
      </c>
      <c r="B36" s="17" t="inlineStr">
        <is>
          <t>Alertas de logs</t>
        </is>
      </c>
      <c r="C36" s="17" t="inlineStr">
        <is>
          <t>Reglas cada 10 minutos</t>
        </is>
      </c>
      <c r="D36" s="16" t="inlineStr">
        <is>
          <t>East US 2</t>
        </is>
      </c>
      <c r="E36" s="18" t="n">
        <v>10</v>
      </c>
      <c r="F36" s="16" t="inlineStr">
        <is>
          <t>regla-mes</t>
        </is>
      </c>
      <c r="G36" s="18" t="n">
        <v>1</v>
      </c>
      <c r="H36" s="19" t="n">
        <v>1</v>
      </c>
      <c r="I36" s="20">
        <f>E36*G36*H36</f>
        <v/>
      </c>
      <c r="J36" s="21">
        <f>I36*Supuestos!$B$28</f>
        <v/>
      </c>
      <c r="K36" s="21">
        <f>J36*12</f>
        <v/>
      </c>
      <c r="L36" s="22" t="inlineStr">
        <is>
          <t>https://azure.microsoft.com/es-es/pricing/details/monitor/</t>
        </is>
      </c>
    </row>
    <row r="37">
      <c r="A37" s="16" t="inlineStr">
        <is>
          <t>Monitoreo y Logs</t>
        </is>
      </c>
      <c r="B37" s="17" t="inlineStr">
        <is>
          <t>Alertas de métricas</t>
        </is>
      </c>
      <c r="C37" s="17" t="inlineStr">
        <is>
          <t>Recursos monitoreados cada 1 minuto</t>
        </is>
      </c>
      <c r="D37" s="16" t="inlineStr">
        <is>
          <t>East US 2</t>
        </is>
      </c>
      <c r="E37" s="18" t="n">
        <v>30</v>
      </c>
      <c r="F37" s="16" t="inlineStr">
        <is>
          <t>recurso-mes</t>
        </is>
      </c>
      <c r="G37" s="18" t="n">
        <v>1</v>
      </c>
      <c r="H37" s="19" t="n">
        <v>0.3</v>
      </c>
      <c r="I37" s="20">
        <f>E37*G37*H37</f>
        <v/>
      </c>
      <c r="J37" s="21">
        <f>I37*Supuestos!$B$28</f>
        <v/>
      </c>
      <c r="K37" s="21">
        <f>J37*12</f>
        <v/>
      </c>
      <c r="L37" s="22" t="inlineStr">
        <is>
          <t>https://azure.microsoft.com/es-es/pricing/details/monitor/</t>
        </is>
      </c>
    </row>
    <row r="38">
      <c r="A38" s="23" t="inlineStr">
        <is>
          <t>Servicios de Plataforma</t>
        </is>
      </c>
      <c r="B38" s="24" t="inlineStr">
        <is>
          <t>Azure Service Bus</t>
        </is>
      </c>
      <c r="C38" s="24" t="inlineStr">
        <is>
          <t>Premium, 1 unidad de mensajería</t>
        </is>
      </c>
      <c r="D38" s="23" t="inlineStr">
        <is>
          <t>East US 2</t>
        </is>
      </c>
      <c r="E38" s="25" t="n">
        <v>1</v>
      </c>
      <c r="F38" s="23" t="inlineStr">
        <is>
          <t>MU-hora</t>
        </is>
      </c>
      <c r="G38" s="25">
        <f>Supuestos!$B$4</f>
        <v/>
      </c>
      <c r="H38" s="26" t="n">
        <v>0.9275</v>
      </c>
      <c r="I38" s="27">
        <f>E38*G38*H38</f>
        <v/>
      </c>
      <c r="J38" s="28">
        <f>I38*Supuestos!$B$28</f>
        <v/>
      </c>
      <c r="K38" s="28">
        <f>J38*12</f>
        <v/>
      </c>
      <c r="L38" s="29" t="inlineStr">
        <is>
          <t>https://azure.microsoft.com/es-es/pricing/details/service-bus/</t>
        </is>
      </c>
    </row>
    <row r="39">
      <c r="A39" s="23" t="inlineStr">
        <is>
          <t>Servicios de Plataforma</t>
        </is>
      </c>
      <c r="B39" s="24" t="inlineStr">
        <is>
          <t>Azure OpenAI</t>
        </is>
      </c>
      <c r="C39" s="24" t="inlineStr">
        <is>
          <t>gpt-4.1-mini regional - tokens de entrada</t>
        </is>
      </c>
      <c r="D39" s="23" t="inlineStr">
        <is>
          <t>East US 2</t>
        </is>
      </c>
      <c r="E39" s="25" t="n">
        <v>1</v>
      </c>
      <c r="F39" s="23" t="inlineStr">
        <is>
          <t>1M tokens</t>
        </is>
      </c>
      <c r="G39" s="25">
        <f>Supuestos!$B$8*Supuestos!$B$13/1000000</f>
        <v/>
      </c>
      <c r="H39" s="26" t="n">
        <v>0.44</v>
      </c>
      <c r="I39" s="27">
        <f>E39*G39*H39</f>
        <v/>
      </c>
      <c r="J39" s="28">
        <f>I39*Supuestos!$B$28</f>
        <v/>
      </c>
      <c r="K39" s="28">
        <f>J39*12</f>
        <v/>
      </c>
      <c r="L39" s="29" t="inlineStr">
        <is>
          <t>https://azure.microsoft.com/es-es/pricing/details/cognitive-services/openai-service/</t>
        </is>
      </c>
    </row>
    <row r="40">
      <c r="A40" s="23" t="inlineStr">
        <is>
          <t>Servicios de Plataforma</t>
        </is>
      </c>
      <c r="B40" s="24" t="inlineStr">
        <is>
          <t>Azure OpenAI</t>
        </is>
      </c>
      <c r="C40" s="24" t="inlineStr">
        <is>
          <t>gpt-4.1-mini regional - tokens de salida</t>
        </is>
      </c>
      <c r="D40" s="23" t="inlineStr">
        <is>
          <t>East US 2</t>
        </is>
      </c>
      <c r="E40" s="25" t="n">
        <v>1</v>
      </c>
      <c r="F40" s="23" t="inlineStr">
        <is>
          <t>1M tokens</t>
        </is>
      </c>
      <c r="G40" s="25">
        <f>Supuestos!$B$8*Supuestos!$B$14/1000000</f>
        <v/>
      </c>
      <c r="H40" s="26" t="n">
        <v>1.76</v>
      </c>
      <c r="I40" s="27">
        <f>E40*G40*H40</f>
        <v/>
      </c>
      <c r="J40" s="28">
        <f>I40*Supuestos!$B$28</f>
        <v/>
      </c>
      <c r="K40" s="28">
        <f>J40*12</f>
        <v/>
      </c>
      <c r="L40" s="29" t="inlineStr">
        <is>
          <t>https://azure.microsoft.com/es-es/pricing/details/cognitive-services/openai-service/</t>
        </is>
      </c>
    </row>
    <row r="41">
      <c r="A41" s="23" t="inlineStr">
        <is>
          <t>Servicios de Plataforma</t>
        </is>
      </c>
      <c r="B41" s="24" t="inlineStr">
        <is>
          <t>Azure Maps</t>
        </is>
      </c>
      <c r="C41" s="24" t="inlineStr">
        <is>
          <t>Búsqueda / geocodificación (5K gratis)</t>
        </is>
      </c>
      <c r="D41" s="23" t="inlineStr">
        <is>
          <t>Global</t>
        </is>
      </c>
      <c r="E41" s="25" t="n">
        <v>1</v>
      </c>
      <c r="F41" s="23" t="inlineStr">
        <is>
          <t>1K transacciones</t>
        </is>
      </c>
      <c r="G41" s="25">
        <f>MAX(0,(Supuestos!$B$10-5000)/1000)</f>
        <v/>
      </c>
      <c r="H41" s="26" t="n">
        <v>4.5</v>
      </c>
      <c r="I41" s="27">
        <f>E41*G41*H41</f>
        <v/>
      </c>
      <c r="J41" s="28">
        <f>I41*Supuestos!$B$28</f>
        <v/>
      </c>
      <c r="K41" s="28">
        <f>J41*12</f>
        <v/>
      </c>
      <c r="L41" s="29" t="inlineStr">
        <is>
          <t>https://azure.microsoft.com/es-es/pricing/details/azure-maps/</t>
        </is>
      </c>
    </row>
    <row r="42">
      <c r="A42" s="23" t="inlineStr">
        <is>
          <t>Servicios de Plataforma</t>
        </is>
      </c>
      <c r="B42" s="24" t="inlineStr">
        <is>
          <t>Azure Maps</t>
        </is>
      </c>
      <c r="C42" s="24" t="inlineStr">
        <is>
          <t>Matriz de rutas (5K gratis)</t>
        </is>
      </c>
      <c r="D42" s="23" t="inlineStr">
        <is>
          <t>Global</t>
        </is>
      </c>
      <c r="E42" s="25" t="n">
        <v>1</v>
      </c>
      <c r="F42" s="23" t="inlineStr">
        <is>
          <t>1K transacciones</t>
        </is>
      </c>
      <c r="G42" s="25">
        <f>MAX(0,(Supuestos!$B$10-5000)/1000)</f>
        <v/>
      </c>
      <c r="H42" s="26" t="n">
        <v>4.5</v>
      </c>
      <c r="I42" s="27">
        <f>E42*G42*H42</f>
        <v/>
      </c>
      <c r="J42" s="28">
        <f>I42*Supuestos!$B$28</f>
        <v/>
      </c>
      <c r="K42" s="28">
        <f>J42*12</f>
        <v/>
      </c>
      <c r="L42" s="29" t="inlineStr">
        <is>
          <t>https://azure.microsoft.com/es-es/pricing/details/azure-maps/</t>
        </is>
      </c>
    </row>
    <row r="43">
      <c r="A43" s="23" t="inlineStr">
        <is>
          <t>Servicios de Plataforma</t>
        </is>
      </c>
      <c r="B43" s="24" t="inlineStr">
        <is>
          <t>Communication Services</t>
        </is>
      </c>
      <c r="C43" s="24" t="inlineStr">
        <is>
          <t>SMS número gratuito EE. UU. (incluye recargo de operador)</t>
        </is>
      </c>
      <c r="D43" s="23" t="inlineStr">
        <is>
          <t>Global</t>
        </is>
      </c>
      <c r="E43" s="25" t="n">
        <v>1</v>
      </c>
      <c r="F43" s="23" t="inlineStr">
        <is>
          <t>mensaje</t>
        </is>
      </c>
      <c r="G43" s="25">
        <f>Supuestos!$B$10</f>
        <v/>
      </c>
      <c r="H43" s="26" t="n">
        <v>0.01</v>
      </c>
      <c r="I43" s="27">
        <f>E43*G43*H43</f>
        <v/>
      </c>
      <c r="J43" s="28">
        <f>I43*Supuestos!$B$28</f>
        <v/>
      </c>
      <c r="K43" s="28">
        <f>J43*12</f>
        <v/>
      </c>
      <c r="L43" s="29" t="inlineStr">
        <is>
          <t>https://learn.microsoft.com/azure/communication-services/concepts/sms-pricing</t>
        </is>
      </c>
    </row>
    <row r="44">
      <c r="A44" s="23" t="inlineStr">
        <is>
          <t>Servicios de Plataforma</t>
        </is>
      </c>
      <c r="B44" s="24" t="inlineStr">
        <is>
          <t>Communication Services</t>
        </is>
      </c>
      <c r="C44" s="24" t="inlineStr">
        <is>
          <t>Llamada de voz saliente EE. UU.</t>
        </is>
      </c>
      <c r="D44" s="23" t="inlineStr">
        <is>
          <t>Global</t>
        </is>
      </c>
      <c r="E44" s="25" t="n">
        <v>1</v>
      </c>
      <c r="F44" s="23" t="inlineStr">
        <is>
          <t>minuto</t>
        </is>
      </c>
      <c r="G44" s="25">
        <f>Supuestos!$B$10*Supuestos!$B$21*Supuestos!$B$22</f>
        <v/>
      </c>
      <c r="H44" s="26" t="n">
        <v>0.013</v>
      </c>
      <c r="I44" s="27">
        <f>E44*G44*H44</f>
        <v/>
      </c>
      <c r="J44" s="28">
        <f>I44*Supuestos!$B$28</f>
        <v/>
      </c>
      <c r="K44" s="28">
        <f>J44*12</f>
        <v/>
      </c>
      <c r="L44" s="29" t="inlineStr">
        <is>
          <t>https://learn.microsoft.com/azure/communication-services/concepts/pricing</t>
        </is>
      </c>
    </row>
    <row r="45">
      <c r="A45" s="23" t="inlineStr">
        <is>
          <t>Servicios de Plataforma</t>
        </is>
      </c>
      <c r="B45" s="24" t="inlineStr">
        <is>
          <t>Communication Services</t>
        </is>
      </c>
      <c r="C45" s="24" t="inlineStr">
        <is>
          <t>Correo electrónico</t>
        </is>
      </c>
      <c r="D45" s="23" t="inlineStr">
        <is>
          <t>Global</t>
        </is>
      </c>
      <c r="E45" s="25" t="n">
        <v>1</v>
      </c>
      <c r="F45" s="23" t="inlineStr">
        <is>
          <t>correo</t>
        </is>
      </c>
      <c r="G45" s="25">
        <f>Supuestos!$B$10</f>
        <v/>
      </c>
      <c r="H45" s="26" t="n">
        <v>0.00025</v>
      </c>
      <c r="I45" s="27">
        <f>E45*G45*H45</f>
        <v/>
      </c>
      <c r="J45" s="28">
        <f>I45*Supuestos!$B$28</f>
        <v/>
      </c>
      <c r="K45" s="28">
        <f>J45*12</f>
        <v/>
      </c>
      <c r="L45" s="29" t="inlineStr">
        <is>
          <t>https://azure.microsoft.com/es-es/pricing/details/communication-services/</t>
        </is>
      </c>
    </row>
    <row r="46">
      <c r="A46" s="23" t="inlineStr">
        <is>
          <t>Servicios de Plataforma</t>
        </is>
      </c>
      <c r="B46" s="24" t="inlineStr">
        <is>
          <t>Communication Services</t>
        </is>
      </c>
      <c r="C46" s="24" t="inlineStr">
        <is>
          <t>Número telefónico gratuito</t>
        </is>
      </c>
      <c r="D46" s="23" t="inlineStr">
        <is>
          <t>Global</t>
        </is>
      </c>
      <c r="E46" s="25" t="n">
        <v>1</v>
      </c>
      <c r="F46" s="23" t="inlineStr">
        <is>
          <t>número-mes</t>
        </is>
      </c>
      <c r="G46" s="25" t="n">
        <v>1</v>
      </c>
      <c r="H46" s="26" t="n">
        <v>2</v>
      </c>
      <c r="I46" s="27">
        <f>E46*G46*H46</f>
        <v/>
      </c>
      <c r="J46" s="28">
        <f>I46*Supuestos!$B$28</f>
        <v/>
      </c>
      <c r="K46" s="28">
        <f>J46*12</f>
        <v/>
      </c>
      <c r="L46" s="29" t="inlineStr">
        <is>
          <t>https://learn.microsoft.com/azure/communication-services/concepts/numbers/number-types</t>
        </is>
      </c>
    </row>
    <row r="47">
      <c r="A47" s="30" t="inlineStr">
        <is>
          <t>Ambiente Dev/Test</t>
        </is>
      </c>
      <c r="B47" s="31" t="inlineStr">
        <is>
          <t>AKS - nodos</t>
        </is>
      </c>
      <c r="C47" s="31" t="inlineStr">
        <is>
          <t>Standard_D2s_v5 (2 vCPU, 8 GB), plano Free</t>
        </is>
      </c>
      <c r="D47" s="30" t="inlineStr">
        <is>
          <t>East US 2</t>
        </is>
      </c>
      <c r="E47" s="32" t="n">
        <v>2</v>
      </c>
      <c r="F47" s="30" t="inlineStr">
        <is>
          <t>nodo-hora</t>
        </is>
      </c>
      <c r="G47" s="32">
        <f>Supuestos!$B$4</f>
        <v/>
      </c>
      <c r="H47" s="33" t="n">
        <v>0.096</v>
      </c>
      <c r="I47" s="34">
        <f>E47*G47*H47</f>
        <v/>
      </c>
      <c r="J47" s="35">
        <f>I47*Supuestos!$B$28</f>
        <v/>
      </c>
      <c r="K47" s="35">
        <f>J47*12</f>
        <v/>
      </c>
      <c r="L47" s="36" t="inlineStr">
        <is>
          <t>https://azure.microsoft.com/es-es/pricing/details/virtual-machines/linux/</t>
        </is>
      </c>
    </row>
    <row r="48">
      <c r="A48" s="30" t="inlineStr">
        <is>
          <t>Ambiente Dev/Test</t>
        </is>
      </c>
      <c r="B48" s="31" t="inlineStr">
        <is>
          <t>PostgreSQL Flexible Server</t>
        </is>
      </c>
      <c r="C48" s="31" t="inlineStr">
        <is>
          <t>Burstable B2s + 64 GB</t>
        </is>
      </c>
      <c r="D48" s="30" t="inlineStr">
        <is>
          <t>East US 2</t>
        </is>
      </c>
      <c r="E48" s="32" t="n">
        <v>1</v>
      </c>
      <c r="F48" s="30" t="inlineStr">
        <is>
          <t>servidor-hora</t>
        </is>
      </c>
      <c r="G48" s="32">
        <f>Supuestos!$B$4</f>
        <v/>
      </c>
      <c r="H48" s="33" t="n">
        <v>0.068</v>
      </c>
      <c r="I48" s="34">
        <f>E48*G48*H48</f>
        <v/>
      </c>
      <c r="J48" s="35">
        <f>I48*Supuestos!$B$28</f>
        <v/>
      </c>
      <c r="K48" s="35">
        <f>J48*12</f>
        <v/>
      </c>
      <c r="L48" s="36" t="inlineStr">
        <is>
          <t>https://azure.microsoft.com/es-es/pricing/details/postgresql/flexible-server/</t>
        </is>
      </c>
    </row>
    <row r="49">
      <c r="A49" s="30" t="inlineStr">
        <is>
          <t>Ambiente Dev/Test</t>
        </is>
      </c>
      <c r="B49" s="31" t="inlineStr">
        <is>
          <t>PostgreSQL - almacenamiento</t>
        </is>
      </c>
      <c r="C49" s="31" t="inlineStr">
        <is>
          <t>64 GB</t>
        </is>
      </c>
      <c r="D49" s="30" t="inlineStr">
        <is>
          <t>East US 2</t>
        </is>
      </c>
      <c r="E49" s="32" t="n">
        <v>1</v>
      </c>
      <c r="F49" s="30" t="inlineStr">
        <is>
          <t>GB-mes</t>
        </is>
      </c>
      <c r="G49" s="32" t="n">
        <v>64</v>
      </c>
      <c r="H49" s="33" t="n">
        <v>0.115</v>
      </c>
      <c r="I49" s="34">
        <f>E49*G49*H49</f>
        <v/>
      </c>
      <c r="J49" s="35">
        <f>I49*Supuestos!$B$28</f>
        <v/>
      </c>
      <c r="K49" s="35">
        <f>J49*12</f>
        <v/>
      </c>
      <c r="L49" s="36" t="inlineStr">
        <is>
          <t>https://azure.microsoft.com/es-es/pricing/details/postgresql/flexible-server/</t>
        </is>
      </c>
    </row>
    <row r="50">
      <c r="A50" s="30" t="inlineStr">
        <is>
          <t>Ambiente Dev/Test</t>
        </is>
      </c>
      <c r="B50" s="31" t="inlineStr">
        <is>
          <t>API Management</t>
        </is>
      </c>
      <c r="C50" s="31" t="inlineStr">
        <is>
          <t>Basic v2</t>
        </is>
      </c>
      <c r="D50" s="30" t="inlineStr">
        <is>
          <t>East US 2</t>
        </is>
      </c>
      <c r="E50" s="32" t="n">
        <v>1</v>
      </c>
      <c r="F50" s="30" t="inlineStr">
        <is>
          <t>unidad-hora</t>
        </is>
      </c>
      <c r="G50" s="32">
        <f>Supuestos!$B$4</f>
        <v/>
      </c>
      <c r="H50" s="33" t="n">
        <v>0.20548</v>
      </c>
      <c r="I50" s="34">
        <f>E50*G50*H50</f>
        <v/>
      </c>
      <c r="J50" s="35">
        <f>I50*Supuestos!$B$28</f>
        <v/>
      </c>
      <c r="K50" s="35">
        <f>J50*12</f>
        <v/>
      </c>
      <c r="L50" s="36" t="inlineStr">
        <is>
          <t>https://azure.microsoft.com/es-es/pricing/details/api-management/</t>
        </is>
      </c>
    </row>
    <row r="51">
      <c r="A51" s="30" t="inlineStr">
        <is>
          <t>Ambiente Dev/Test</t>
        </is>
      </c>
      <c r="B51" s="31" t="inlineStr">
        <is>
          <t>Azure Cache for Redis</t>
        </is>
      </c>
      <c r="C51" s="31" t="inlineStr">
        <is>
          <t>Basic C2</t>
        </is>
      </c>
      <c r="D51" s="30" t="inlineStr">
        <is>
          <t>East US 2</t>
        </is>
      </c>
      <c r="E51" s="32" t="n">
        <v>1</v>
      </c>
      <c r="F51" s="30" t="inlineStr">
        <is>
          <t>caché-hora</t>
        </is>
      </c>
      <c r="G51" s="32">
        <f>Supuestos!$B$4</f>
        <v/>
      </c>
      <c r="H51" s="33" t="n">
        <v>0.09</v>
      </c>
      <c r="I51" s="34">
        <f>E51*G51*H51</f>
        <v/>
      </c>
      <c r="J51" s="35">
        <f>I51*Supuestos!$B$28</f>
        <v/>
      </c>
      <c r="K51" s="35">
        <f>J51*12</f>
        <v/>
      </c>
      <c r="L51" s="36" t="inlineStr">
        <is>
          <t>https://azure.microsoft.com/es-es/pricing/details/cache/</t>
        </is>
      </c>
    </row>
    <row r="52">
      <c r="A52" s="30" t="inlineStr">
        <is>
          <t>Ambiente Dev/Test</t>
        </is>
      </c>
      <c r="B52" s="31" t="inlineStr">
        <is>
          <t>Azure Service Bus</t>
        </is>
      </c>
      <c r="C52" s="31" t="inlineStr">
        <is>
          <t>Standard</t>
        </is>
      </c>
      <c r="D52" s="30" t="inlineStr">
        <is>
          <t>East US 2</t>
        </is>
      </c>
      <c r="E52" s="32" t="n">
        <v>1</v>
      </c>
      <c r="F52" s="30" t="inlineStr">
        <is>
          <t>unidad-hora</t>
        </is>
      </c>
      <c r="G52" s="32">
        <f>Supuestos!$B$4</f>
        <v/>
      </c>
      <c r="H52" s="33" t="n">
        <v>0.013441</v>
      </c>
      <c r="I52" s="34">
        <f>E52*G52*H52</f>
        <v/>
      </c>
      <c r="J52" s="35">
        <f>I52*Supuestos!$B$28</f>
        <v/>
      </c>
      <c r="K52" s="35">
        <f>J52*12</f>
        <v/>
      </c>
      <c r="L52" s="36" t="inlineStr">
        <is>
          <t>https://azure.microsoft.com/es-es/pricing/details/service-bus/</t>
        </is>
      </c>
    </row>
    <row r="53">
      <c r="A53" s="30" t="inlineStr">
        <is>
          <t>Ambiente Dev/Test</t>
        </is>
      </c>
      <c r="B53" s="31" t="inlineStr">
        <is>
          <t>Log Analytics</t>
        </is>
      </c>
      <c r="C53" s="31" t="inlineStr">
        <is>
          <t>20 GB por mes</t>
        </is>
      </c>
      <c r="D53" s="30" t="inlineStr">
        <is>
          <t>East US 2</t>
        </is>
      </c>
      <c r="E53" s="32" t="n">
        <v>1</v>
      </c>
      <c r="F53" s="30" t="inlineStr">
        <is>
          <t>GB</t>
        </is>
      </c>
      <c r="G53" s="32" t="n">
        <v>20</v>
      </c>
      <c r="H53" s="33" t="n">
        <v>2.76</v>
      </c>
      <c r="I53" s="34">
        <f>E53*G53*H53</f>
        <v/>
      </c>
      <c r="J53" s="35">
        <f>I53*Supuestos!$B$28</f>
        <v/>
      </c>
      <c r="K53" s="35">
        <f>J53*12</f>
        <v/>
      </c>
      <c r="L53" s="36" t="inlineStr">
        <is>
          <t>https://azure.microsoft.com/es-es/pricing/details/monitor/</t>
        </is>
      </c>
    </row>
    <row r="54">
      <c r="A54" s="37" t="inlineStr">
        <is>
          <t>TOTAL MENSUAL / ANUAL</t>
        </is>
      </c>
      <c r="B54" s="37" t="n"/>
      <c r="C54" s="37" t="n"/>
      <c r="D54" s="37" t="n"/>
      <c r="E54" s="37" t="n"/>
      <c r="F54" s="37" t="n"/>
      <c r="G54" s="37" t="n"/>
      <c r="H54" s="37" t="n"/>
      <c r="I54" s="38">
        <f>SUM(I4:I53)</f>
        <v/>
      </c>
      <c r="J54" s="39">
        <f>SUM(J4:J53)</f>
        <v/>
      </c>
      <c r="K54" s="39">
        <f>SUM(K4:K53)</f>
        <v/>
      </c>
      <c r="L54" s="37" t="n"/>
    </row>
  </sheetData>
  <autoFilter ref="A3:L53"/>
  <hyperlinks>
    <hyperlink xmlns:r="http://schemas.openxmlformats.org/officeDocument/2006/relationships" ref="L4" r:id="rId1"/>
    <hyperlink xmlns:r="http://schemas.openxmlformats.org/officeDocument/2006/relationships" ref="L5" r:id="rId2"/>
    <hyperlink xmlns:r="http://schemas.openxmlformats.org/officeDocument/2006/relationships" ref="L6" r:id="rId3"/>
    <hyperlink xmlns:r="http://schemas.openxmlformats.org/officeDocument/2006/relationships" ref="L7" r:id="rId4"/>
    <hyperlink xmlns:r="http://schemas.openxmlformats.org/officeDocument/2006/relationships" ref="L8" r:id="rId5"/>
    <hyperlink xmlns:r="http://schemas.openxmlformats.org/officeDocument/2006/relationships" ref="L9" r:id="rId6"/>
    <hyperlink xmlns:r="http://schemas.openxmlformats.org/officeDocument/2006/relationships" ref="L10" r:id="rId7"/>
    <hyperlink xmlns:r="http://schemas.openxmlformats.org/officeDocument/2006/relationships" ref="L11" r:id="rId8"/>
    <hyperlink xmlns:r="http://schemas.openxmlformats.org/officeDocument/2006/relationships" ref="L12" r:id="rId9"/>
    <hyperlink xmlns:r="http://schemas.openxmlformats.org/officeDocument/2006/relationships" ref="L13" r:id="rId10"/>
    <hyperlink xmlns:r="http://schemas.openxmlformats.org/officeDocument/2006/relationships" ref="L14" r:id="rId11"/>
    <hyperlink xmlns:r="http://schemas.openxmlformats.org/officeDocument/2006/relationships" ref="L15" r:id="rId12"/>
    <hyperlink xmlns:r="http://schemas.openxmlformats.org/officeDocument/2006/relationships" ref="L16" r:id="rId13"/>
    <hyperlink xmlns:r="http://schemas.openxmlformats.org/officeDocument/2006/relationships" ref="L17" r:id="rId14"/>
    <hyperlink xmlns:r="http://schemas.openxmlformats.org/officeDocument/2006/relationships" ref="L18" r:id="rId15"/>
    <hyperlink xmlns:r="http://schemas.openxmlformats.org/officeDocument/2006/relationships" ref="L19" r:id="rId16"/>
    <hyperlink xmlns:r="http://schemas.openxmlformats.org/officeDocument/2006/relationships" ref="L20" r:id="rId17"/>
    <hyperlink xmlns:r="http://schemas.openxmlformats.org/officeDocument/2006/relationships" ref="L21" r:id="rId18"/>
    <hyperlink xmlns:r="http://schemas.openxmlformats.org/officeDocument/2006/relationships" ref="L22" r:id="rId19"/>
    <hyperlink xmlns:r="http://schemas.openxmlformats.org/officeDocument/2006/relationships" ref="L23" r:id="rId20"/>
    <hyperlink xmlns:r="http://schemas.openxmlformats.org/officeDocument/2006/relationships" ref="L24" r:id="rId21"/>
    <hyperlink xmlns:r="http://schemas.openxmlformats.org/officeDocument/2006/relationships" ref="L25" r:id="rId22"/>
    <hyperlink xmlns:r="http://schemas.openxmlformats.org/officeDocument/2006/relationships" ref="L26" r:id="rId23"/>
    <hyperlink xmlns:r="http://schemas.openxmlformats.org/officeDocument/2006/relationships" ref="L27" r:id="rId24"/>
    <hyperlink xmlns:r="http://schemas.openxmlformats.org/officeDocument/2006/relationships" ref="L28" r:id="rId25"/>
    <hyperlink xmlns:r="http://schemas.openxmlformats.org/officeDocument/2006/relationships" ref="L29" r:id="rId26"/>
    <hyperlink xmlns:r="http://schemas.openxmlformats.org/officeDocument/2006/relationships" ref="L30" r:id="rId27"/>
    <hyperlink xmlns:r="http://schemas.openxmlformats.org/officeDocument/2006/relationships" ref="L31" r:id="rId28"/>
    <hyperlink xmlns:r="http://schemas.openxmlformats.org/officeDocument/2006/relationships" ref="L32" r:id="rId29"/>
    <hyperlink xmlns:r="http://schemas.openxmlformats.org/officeDocument/2006/relationships" ref="L33" r:id="rId30"/>
    <hyperlink xmlns:r="http://schemas.openxmlformats.org/officeDocument/2006/relationships" ref="L34" r:id="rId31"/>
    <hyperlink xmlns:r="http://schemas.openxmlformats.org/officeDocument/2006/relationships" ref="L35" r:id="rId32"/>
    <hyperlink xmlns:r="http://schemas.openxmlformats.org/officeDocument/2006/relationships" ref="L36" r:id="rId33"/>
    <hyperlink xmlns:r="http://schemas.openxmlformats.org/officeDocument/2006/relationships" ref="L37" r:id="rId34"/>
    <hyperlink xmlns:r="http://schemas.openxmlformats.org/officeDocument/2006/relationships" ref="L38" r:id="rId35"/>
    <hyperlink xmlns:r="http://schemas.openxmlformats.org/officeDocument/2006/relationships" ref="L39" r:id="rId36"/>
    <hyperlink xmlns:r="http://schemas.openxmlformats.org/officeDocument/2006/relationships" ref="L40" r:id="rId37"/>
    <hyperlink xmlns:r="http://schemas.openxmlformats.org/officeDocument/2006/relationships" ref="L41" r:id="rId38"/>
    <hyperlink xmlns:r="http://schemas.openxmlformats.org/officeDocument/2006/relationships" ref="L42" r:id="rId39"/>
    <hyperlink xmlns:r="http://schemas.openxmlformats.org/officeDocument/2006/relationships" ref="L43" r:id="rId40"/>
    <hyperlink xmlns:r="http://schemas.openxmlformats.org/officeDocument/2006/relationships" ref="L44" r:id="rId41"/>
    <hyperlink xmlns:r="http://schemas.openxmlformats.org/officeDocument/2006/relationships" ref="L45" r:id="rId42"/>
    <hyperlink xmlns:r="http://schemas.openxmlformats.org/officeDocument/2006/relationships" ref="L46" r:id="rId43"/>
    <hyperlink xmlns:r="http://schemas.openxmlformats.org/officeDocument/2006/relationships" ref="L47" r:id="rId44"/>
    <hyperlink xmlns:r="http://schemas.openxmlformats.org/officeDocument/2006/relationships" ref="L48" r:id="rId45"/>
    <hyperlink xmlns:r="http://schemas.openxmlformats.org/officeDocument/2006/relationships" ref="L49" r:id="rId46"/>
    <hyperlink xmlns:r="http://schemas.openxmlformats.org/officeDocument/2006/relationships" ref="L50" r:id="rId47"/>
    <hyperlink xmlns:r="http://schemas.openxmlformats.org/officeDocument/2006/relationships" ref="L51" r:id="rId48"/>
    <hyperlink xmlns:r="http://schemas.openxmlformats.org/officeDocument/2006/relationships" ref="L52" r:id="rId49"/>
    <hyperlink xmlns:r="http://schemas.openxmlformats.org/officeDocument/2006/relationships" ref="L53" r:id="rId5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6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30" customWidth="1" min="2" max="2"/>
    <col width="44" customWidth="1" min="3" max="3"/>
    <col width="20" customWidth="1" min="4" max="4"/>
    <col width="10" customWidth="1" min="5" max="5"/>
    <col width="16" customWidth="1" min="6" max="6"/>
    <col width="13" customWidth="1" min="7" max="7"/>
    <col width="14" customWidth="1" min="8" max="8"/>
    <col width="16" customWidth="1" min="9" max="9"/>
    <col width="18" customWidth="1" min="10" max="10"/>
    <col width="20" customWidth="1" min="11" max="11"/>
    <col width="40" customWidth="1" min="12" max="12"/>
  </cols>
  <sheetData>
    <row r="1">
      <c r="A1" s="1" t="inlineStr">
        <is>
          <t>Detalle de costos - AWS</t>
        </is>
      </c>
    </row>
    <row r="2">
      <c r="A2" s="2" t="inlineStr">
        <is>
          <t>Región primaria us-east-2 (Ohio), secundaria us-west-2 (Oregón). Pago por uso (sin descuentos). Precios de lista en USD consultados en Octubre 2026 en AWS Price List.</t>
        </is>
      </c>
    </row>
    <row r="3" ht="32" customHeight="1">
      <c r="A3" s="3" t="inlineStr">
        <is>
          <t>Categoría</t>
        </is>
      </c>
      <c r="B3" s="3" t="inlineStr">
        <is>
          <t>Servicio</t>
        </is>
      </c>
      <c r="C3" s="3" t="inlineStr">
        <is>
          <t>Configuración / SKU</t>
        </is>
      </c>
      <c r="D3" s="3" t="inlineStr">
        <is>
          <t>Región</t>
        </is>
      </c>
      <c r="E3" s="3" t="inlineStr">
        <is>
          <t>Cantidad</t>
        </is>
      </c>
      <c r="F3" s="3" t="inlineStr">
        <is>
          <t>Unidad de cobro</t>
        </is>
      </c>
      <c r="G3" s="3" t="inlineStr">
        <is>
          <t>Uso mensual</t>
        </is>
      </c>
      <c r="H3" s="3" t="inlineStr">
        <is>
          <t>Precio unitario (USD)</t>
        </is>
      </c>
      <c r="I3" s="3" t="inlineStr">
        <is>
          <t>Costo mensual (USD)</t>
        </is>
      </c>
      <c r="J3" s="3" t="inlineStr">
        <is>
          <t>Costo mensual (COP)</t>
        </is>
      </c>
      <c r="K3" s="3" t="inlineStr">
        <is>
          <t>Costo anual (COP)</t>
        </is>
      </c>
      <c r="L3" s="3" t="inlineStr">
        <is>
          <t>Referencia</t>
        </is>
      </c>
    </row>
    <row r="4">
      <c r="A4" s="16" t="inlineStr">
        <is>
          <t>Computación</t>
        </is>
      </c>
      <c r="B4" s="17" t="inlineStr">
        <is>
          <t>Amazon EKS</t>
        </is>
      </c>
      <c r="C4" s="17" t="inlineStr">
        <is>
          <t>Plano de control estándar</t>
        </is>
      </c>
      <c r="D4" s="16" t="inlineStr">
        <is>
          <t>us-east-2 + us-west-2</t>
        </is>
      </c>
      <c r="E4" s="18" t="n">
        <v>2</v>
      </c>
      <c r="F4" s="16" t="inlineStr">
        <is>
          <t>clúster-hora</t>
        </is>
      </c>
      <c r="G4" s="18">
        <f>Supuestos!$B$4</f>
        <v/>
      </c>
      <c r="H4" s="19" t="n">
        <v>0.1</v>
      </c>
      <c r="I4" s="20">
        <f>E4*G4*H4</f>
        <v/>
      </c>
      <c r="J4" s="21">
        <f>I4*Supuestos!$B$28</f>
        <v/>
      </c>
      <c r="K4" s="21">
        <f>J4*12</f>
        <v/>
      </c>
      <c r="L4" s="22" t="inlineStr">
        <is>
          <t>https://aws.amazon.com/eks/pricing/</t>
        </is>
      </c>
    </row>
    <row r="5">
      <c r="A5" s="16" t="inlineStr">
        <is>
          <t>Computación</t>
        </is>
      </c>
      <c r="B5" s="17" t="inlineStr">
        <is>
          <t>EKS - nodos región primaria</t>
        </is>
      </c>
      <c r="C5" s="17" t="inlineStr">
        <is>
          <t>m6i.xlarge Linux (4 vCPU, 16 GB)</t>
        </is>
      </c>
      <c r="D5" s="16" t="inlineStr">
        <is>
          <t>us-east-2</t>
        </is>
      </c>
      <c r="E5" s="18">
        <f>Supuestos!$B$25</f>
        <v/>
      </c>
      <c r="F5" s="16" t="inlineStr">
        <is>
          <t>nodo-hora</t>
        </is>
      </c>
      <c r="G5" s="18">
        <f>Supuestos!$B$4</f>
        <v/>
      </c>
      <c r="H5" s="19" t="n">
        <v>0.192</v>
      </c>
      <c r="I5" s="20">
        <f>E5*G5*H5</f>
        <v/>
      </c>
      <c r="J5" s="21">
        <f>I5*Supuestos!$B$28</f>
        <v/>
      </c>
      <c r="K5" s="21">
        <f>J5*12</f>
        <v/>
      </c>
      <c r="L5" s="22" t="inlineStr">
        <is>
          <t>https://aws.amazon.com/ec2/pricing/on-demand/</t>
        </is>
      </c>
    </row>
    <row r="6">
      <c r="A6" s="16" t="inlineStr">
        <is>
          <t>Computación</t>
        </is>
      </c>
      <c r="B6" s="17" t="inlineStr">
        <is>
          <t>EKS - nodos región secundaria</t>
        </is>
      </c>
      <c r="C6" s="17" t="inlineStr">
        <is>
          <t>m6i.xlarge Linux (4 vCPU, 16 GB)</t>
        </is>
      </c>
      <c r="D6" s="16" t="inlineStr">
        <is>
          <t>us-west-2</t>
        </is>
      </c>
      <c r="E6" s="18">
        <f>Supuestos!$B$26</f>
        <v/>
      </c>
      <c r="F6" s="16" t="inlineStr">
        <is>
          <t>nodo-hora</t>
        </is>
      </c>
      <c r="G6" s="18">
        <f>Supuestos!$B$4</f>
        <v/>
      </c>
      <c r="H6" s="19" t="n">
        <v>0.192</v>
      </c>
      <c r="I6" s="20">
        <f>E6*G6*H6</f>
        <v/>
      </c>
      <c r="J6" s="21">
        <f>I6*Supuestos!$B$28</f>
        <v/>
      </c>
      <c r="K6" s="21">
        <f>J6*12</f>
        <v/>
      </c>
      <c r="L6" s="22" t="inlineStr">
        <is>
          <t>https://aws.amazon.com/ec2/pricing/on-demand/</t>
        </is>
      </c>
    </row>
    <row r="7">
      <c r="A7" s="16" t="inlineStr">
        <is>
          <t>Computación</t>
        </is>
      </c>
      <c r="B7" s="17" t="inlineStr">
        <is>
          <t>EBS de los nodos</t>
        </is>
      </c>
      <c r="C7" s="17" t="inlineStr">
        <is>
          <t>gp3 128 GB</t>
        </is>
      </c>
      <c r="D7" s="16" t="inlineStr">
        <is>
          <t>Ambas</t>
        </is>
      </c>
      <c r="E7" s="18">
        <f>(Supuestos!$B$25+Supuestos!$B$26)*128</f>
        <v/>
      </c>
      <c r="F7" s="16" t="inlineStr">
        <is>
          <t>GB-mes</t>
        </is>
      </c>
      <c r="G7" s="18" t="n">
        <v>1</v>
      </c>
      <c r="H7" s="19" t="n">
        <v>0.08</v>
      </c>
      <c r="I7" s="20">
        <f>E7*G7*H7</f>
        <v/>
      </c>
      <c r="J7" s="21">
        <f>I7*Supuestos!$B$28</f>
        <v/>
      </c>
      <c r="K7" s="21">
        <f>J7*12</f>
        <v/>
      </c>
      <c r="L7" s="22" t="inlineStr">
        <is>
          <t>https://aws.amazon.com/ebs/pricing/</t>
        </is>
      </c>
    </row>
    <row r="8">
      <c r="A8" s="16" t="inlineStr">
        <is>
          <t>Computación</t>
        </is>
      </c>
      <c r="B8" s="17" t="inlineStr">
        <is>
          <t>Amazon ECR</t>
        </is>
      </c>
      <c r="C8" s="17" t="inlineStr">
        <is>
          <t>Almacenamiento de imágenes + replicación</t>
        </is>
      </c>
      <c r="D8" s="16" t="inlineStr">
        <is>
          <t>Ambas</t>
        </is>
      </c>
      <c r="E8" s="18" t="n">
        <v>2</v>
      </c>
      <c r="F8" s="16" t="inlineStr">
        <is>
          <t>GB-mes</t>
        </is>
      </c>
      <c r="G8" s="18" t="n">
        <v>50</v>
      </c>
      <c r="H8" s="19" t="n">
        <v>0.1</v>
      </c>
      <c r="I8" s="20">
        <f>E8*G8*H8</f>
        <v/>
      </c>
      <c r="J8" s="21">
        <f>I8*Supuestos!$B$28</f>
        <v/>
      </c>
      <c r="K8" s="21">
        <f>J8*12</f>
        <v/>
      </c>
      <c r="L8" s="22" t="inlineStr">
        <is>
          <t>https://aws.amazon.com/ecr/pricing/</t>
        </is>
      </c>
    </row>
    <row r="9">
      <c r="A9" s="23" t="inlineStr">
        <is>
          <t>Almacenamiento y Bases de Datos</t>
        </is>
      </c>
      <c r="B9" s="24" t="inlineStr">
        <is>
          <t>RDS for PostgreSQL</t>
        </is>
      </c>
      <c r="C9" s="24" t="inlineStr">
        <is>
          <t>db.m6i.xlarge Multi-AZ (4 vCPU, 16 GB)</t>
        </is>
      </c>
      <c r="D9" s="23" t="inlineStr">
        <is>
          <t>us-east-2</t>
        </is>
      </c>
      <c r="E9" s="25" t="n">
        <v>1</v>
      </c>
      <c r="F9" s="23" t="inlineStr">
        <is>
          <t>instancia-hora</t>
        </is>
      </c>
      <c r="G9" s="25">
        <f>Supuestos!$B$4</f>
        <v/>
      </c>
      <c r="H9" s="26" t="n">
        <v>0.712</v>
      </c>
      <c r="I9" s="27">
        <f>E9*G9*H9</f>
        <v/>
      </c>
      <c r="J9" s="28">
        <f>I9*Supuestos!$B$28</f>
        <v/>
      </c>
      <c r="K9" s="28">
        <f>J9*12</f>
        <v/>
      </c>
      <c r="L9" s="29" t="inlineStr">
        <is>
          <t>https://aws.amazon.com/rds/postgresql/pricing/</t>
        </is>
      </c>
    </row>
    <row r="10">
      <c r="A10" s="23" t="inlineStr">
        <is>
          <t>Almacenamiento y Bases de Datos</t>
        </is>
      </c>
      <c r="B10" s="24" t="inlineStr">
        <is>
          <t>RDS - almacenamiento</t>
        </is>
      </c>
      <c r="C10" s="24" t="inlineStr">
        <is>
          <t>gp3 Multi-AZ</t>
        </is>
      </c>
      <c r="D10" s="23" t="inlineStr">
        <is>
          <t>us-east-2</t>
        </is>
      </c>
      <c r="E10" s="25" t="n">
        <v>1</v>
      </c>
      <c r="F10" s="23" t="inlineStr">
        <is>
          <t>GB-mes</t>
        </is>
      </c>
      <c r="G10" s="25">
        <f>Supuestos!$B$18</f>
        <v/>
      </c>
      <c r="H10" s="26" t="n">
        <v>0.23</v>
      </c>
      <c r="I10" s="27">
        <f>E10*G10*H10</f>
        <v/>
      </c>
      <c r="J10" s="28">
        <f>I10*Supuestos!$B$28</f>
        <v/>
      </c>
      <c r="K10" s="28">
        <f>J10*12</f>
        <v/>
      </c>
      <c r="L10" s="29" t="inlineStr">
        <is>
          <t>https://aws.amazon.com/rds/postgresql/pricing/</t>
        </is>
      </c>
    </row>
    <row r="11">
      <c r="A11" s="23" t="inlineStr">
        <is>
          <t>Almacenamiento y Bases de Datos</t>
        </is>
      </c>
      <c r="B11" s="24" t="inlineStr">
        <is>
          <t>RDS - réplica entre regiones</t>
        </is>
      </c>
      <c r="C11" s="24" t="inlineStr">
        <is>
          <t>db.m6i.xlarge Single-AZ</t>
        </is>
      </c>
      <c r="D11" s="23" t="inlineStr">
        <is>
          <t>us-west-2</t>
        </is>
      </c>
      <c r="E11" s="25" t="n">
        <v>1</v>
      </c>
      <c r="F11" s="23" t="inlineStr">
        <is>
          <t>instancia-hora</t>
        </is>
      </c>
      <c r="G11" s="25">
        <f>Supuestos!$B$4</f>
        <v/>
      </c>
      <c r="H11" s="26" t="n">
        <v>0.356</v>
      </c>
      <c r="I11" s="27">
        <f>E11*G11*H11</f>
        <v/>
      </c>
      <c r="J11" s="28">
        <f>I11*Supuestos!$B$28</f>
        <v/>
      </c>
      <c r="K11" s="28">
        <f>J11*12</f>
        <v/>
      </c>
      <c r="L11" s="29" t="inlineStr">
        <is>
          <t>https://aws.amazon.com/rds/postgresql/pricing/</t>
        </is>
      </c>
    </row>
    <row r="12">
      <c r="A12" s="23" t="inlineStr">
        <is>
          <t>Almacenamiento y Bases de Datos</t>
        </is>
      </c>
      <c r="B12" s="24" t="inlineStr">
        <is>
          <t>RDS - almacenamiento réplica</t>
        </is>
      </c>
      <c r="C12" s="24" t="inlineStr">
        <is>
          <t>gp3 Single-AZ</t>
        </is>
      </c>
      <c r="D12" s="23" t="inlineStr">
        <is>
          <t>us-west-2</t>
        </is>
      </c>
      <c r="E12" s="25" t="n">
        <v>1</v>
      </c>
      <c r="F12" s="23" t="inlineStr">
        <is>
          <t>GB-mes</t>
        </is>
      </c>
      <c r="G12" s="25">
        <f>Supuestos!$B$18</f>
        <v/>
      </c>
      <c r="H12" s="26" t="n">
        <v>0.115</v>
      </c>
      <c r="I12" s="27">
        <f>E12*G12*H12</f>
        <v/>
      </c>
      <c r="J12" s="28">
        <f>I12*Supuestos!$B$28</f>
        <v/>
      </c>
      <c r="K12" s="28">
        <f>J12*12</f>
        <v/>
      </c>
      <c r="L12" s="29" t="inlineStr">
        <is>
          <t>https://aws.amazon.com/rds/postgresql/pricing/</t>
        </is>
      </c>
    </row>
    <row r="13">
      <c r="A13" s="23" t="inlineStr">
        <is>
          <t>Almacenamiento y Bases de Datos</t>
        </is>
      </c>
      <c r="B13" s="24" t="inlineStr">
        <is>
          <t>ElastiCache</t>
        </is>
      </c>
      <c r="C13" s="24" t="inlineStr">
        <is>
          <t>cache.m7g.large Valkey, primario + réplica</t>
        </is>
      </c>
      <c r="D13" s="23" t="inlineStr">
        <is>
          <t>us-east-2</t>
        </is>
      </c>
      <c r="E13" s="25" t="n">
        <v>2</v>
      </c>
      <c r="F13" s="23" t="inlineStr">
        <is>
          <t>nodo-hora</t>
        </is>
      </c>
      <c r="G13" s="25">
        <f>Supuestos!$B$4</f>
        <v/>
      </c>
      <c r="H13" s="26" t="n">
        <v>0.1264</v>
      </c>
      <c r="I13" s="27">
        <f>E13*G13*H13</f>
        <v/>
      </c>
      <c r="J13" s="28">
        <f>I13*Supuestos!$B$28</f>
        <v/>
      </c>
      <c r="K13" s="28">
        <f>J13*12</f>
        <v/>
      </c>
      <c r="L13" s="29" t="inlineStr">
        <is>
          <t>https://aws.amazon.com/elasticache/pricing/</t>
        </is>
      </c>
    </row>
    <row r="14">
      <c r="A14" s="23" t="inlineStr">
        <is>
          <t>Almacenamiento y Bases de Datos</t>
        </is>
      </c>
      <c r="B14" s="24" t="inlineStr">
        <is>
          <t>Amazon S3</t>
        </is>
      </c>
      <c r="C14" s="24" t="inlineStr">
        <is>
          <t>Standard</t>
        </is>
      </c>
      <c r="D14" s="23" t="inlineStr">
        <is>
          <t>us-east-2</t>
        </is>
      </c>
      <c r="E14" s="25" t="n">
        <v>1</v>
      </c>
      <c r="F14" s="23" t="inlineStr">
        <is>
          <t>GB-mes</t>
        </is>
      </c>
      <c r="G14" s="25">
        <f>Supuestos!$B$17</f>
        <v/>
      </c>
      <c r="H14" s="26" t="n">
        <v>0.023</v>
      </c>
      <c r="I14" s="27">
        <f>E14*G14*H14</f>
        <v/>
      </c>
      <c r="J14" s="28">
        <f>I14*Supuestos!$B$28</f>
        <v/>
      </c>
      <c r="K14" s="28">
        <f>J14*12</f>
        <v/>
      </c>
      <c r="L14" s="29" t="inlineStr">
        <is>
          <t>https://aws.amazon.com/s3/pricing/</t>
        </is>
      </c>
    </row>
    <row r="15">
      <c r="A15" s="23" t="inlineStr">
        <is>
          <t>Almacenamiento y Bases de Datos</t>
        </is>
      </c>
      <c r="B15" s="24" t="inlineStr">
        <is>
          <t>Amazon S3 - replicación entre regiones</t>
        </is>
      </c>
      <c r="C15" s="24" t="inlineStr">
        <is>
          <t>Standard (copia)</t>
        </is>
      </c>
      <c r="D15" s="23" t="inlineStr">
        <is>
          <t>us-west-2</t>
        </is>
      </c>
      <c r="E15" s="25" t="n">
        <v>1</v>
      </c>
      <c r="F15" s="23" t="inlineStr">
        <is>
          <t>GB-mes</t>
        </is>
      </c>
      <c r="G15" s="25">
        <f>Supuestos!$B$17</f>
        <v/>
      </c>
      <c r="H15" s="26" t="n">
        <v>0.023</v>
      </c>
      <c r="I15" s="27">
        <f>E15*G15*H15</f>
        <v/>
      </c>
      <c r="J15" s="28">
        <f>I15*Supuestos!$B$28</f>
        <v/>
      </c>
      <c r="K15" s="28">
        <f>J15*12</f>
        <v/>
      </c>
      <c r="L15" s="29" t="inlineStr">
        <is>
          <t>https://aws.amazon.com/s3/pricing/</t>
        </is>
      </c>
    </row>
    <row r="16">
      <c r="A16" s="23" t="inlineStr">
        <is>
          <t>Almacenamiento y Bases de Datos</t>
        </is>
      </c>
      <c r="B16" s="24" t="inlineStr">
        <is>
          <t>AWS HealthLake</t>
        </is>
      </c>
      <c r="C16" s="24" t="inlineStr">
        <is>
          <t>Almacén de datos FHIR R4</t>
        </is>
      </c>
      <c r="D16" s="23" t="inlineStr">
        <is>
          <t>us-east-2</t>
        </is>
      </c>
      <c r="E16" s="25" t="n">
        <v>1</v>
      </c>
      <c r="F16" s="23" t="inlineStr">
        <is>
          <t>hora</t>
        </is>
      </c>
      <c r="G16" s="25">
        <f>Supuestos!$B$4</f>
        <v/>
      </c>
      <c r="H16" s="26" t="n">
        <v>0.27</v>
      </c>
      <c r="I16" s="27">
        <f>E16*G16*H16</f>
        <v/>
      </c>
      <c r="J16" s="28">
        <f>I16*Supuestos!$B$28</f>
        <v/>
      </c>
      <c r="K16" s="28">
        <f>J16*12</f>
        <v/>
      </c>
      <c r="L16" s="29" t="inlineStr">
        <is>
          <t>https://aws.amazon.com/healthlake/pricing/</t>
        </is>
      </c>
    </row>
    <row r="17">
      <c r="A17" s="23" t="inlineStr">
        <is>
          <t>Almacenamiento y Bases de Datos</t>
        </is>
      </c>
      <c r="B17" s="24" t="inlineStr">
        <is>
          <t>AWS HealthLake</t>
        </is>
      </c>
      <c r="C17" s="24" t="inlineStr">
        <is>
          <t>Almacenamiento FHIR + índice (10 GB gratis)</t>
        </is>
      </c>
      <c r="D17" s="23" t="inlineStr">
        <is>
          <t>us-east-2</t>
        </is>
      </c>
      <c r="E17" s="25" t="n">
        <v>1</v>
      </c>
      <c r="F17" s="23" t="inlineStr">
        <is>
          <t>GB-mes</t>
        </is>
      </c>
      <c r="G17" s="25">
        <f>MAX(0,Supuestos!$B$16-10)</f>
        <v/>
      </c>
      <c r="H17" s="26" t="n">
        <v>0.37</v>
      </c>
      <c r="I17" s="27">
        <f>E17*G17*H17</f>
        <v/>
      </c>
      <c r="J17" s="28">
        <f>I17*Supuestos!$B$28</f>
        <v/>
      </c>
      <c r="K17" s="28">
        <f>J17*12</f>
        <v/>
      </c>
      <c r="L17" s="29" t="inlineStr">
        <is>
          <t>https://aws.amazon.com/healthlake/pricing/</t>
        </is>
      </c>
    </row>
    <row r="18">
      <c r="A18" s="16" t="inlineStr">
        <is>
          <t>Redes</t>
        </is>
      </c>
      <c r="B18" s="17" t="inlineStr">
        <is>
          <t>Amazon CloudFront</t>
        </is>
      </c>
      <c r="C18" s="17" t="inlineStr">
        <is>
          <t>Salida de datos (primeros 10 TB)</t>
        </is>
      </c>
      <c r="D18" s="16" t="inlineStr">
        <is>
          <t>Global</t>
        </is>
      </c>
      <c r="E18" s="18" t="n">
        <v>1</v>
      </c>
      <c r="F18" s="16" t="inlineStr">
        <is>
          <t>GB</t>
        </is>
      </c>
      <c r="G18" s="18">
        <f>Supuestos!$B$20</f>
        <v/>
      </c>
      <c r="H18" s="19" t="n">
        <v>0.08500000000000001</v>
      </c>
      <c r="I18" s="20">
        <f>E18*G18*H18</f>
        <v/>
      </c>
      <c r="J18" s="21">
        <f>I18*Supuestos!$B$28</f>
        <v/>
      </c>
      <c r="K18" s="21">
        <f>J18*12</f>
        <v/>
      </c>
      <c r="L18" s="22" t="inlineStr">
        <is>
          <t>https://aws.amazon.com/cloudfront/pricing/</t>
        </is>
      </c>
    </row>
    <row r="19">
      <c r="A19" s="16" t="inlineStr">
        <is>
          <t>Redes</t>
        </is>
      </c>
      <c r="B19" s="17" t="inlineStr">
        <is>
          <t>Amazon CloudFront</t>
        </is>
      </c>
      <c r="C19" s="17" t="inlineStr">
        <is>
          <t>Solicitudes HTTPS</t>
        </is>
      </c>
      <c r="D19" s="16" t="inlineStr">
        <is>
          <t>Global</t>
        </is>
      </c>
      <c r="E19" s="18" t="n">
        <v>1</v>
      </c>
      <c r="F19" s="16" t="inlineStr">
        <is>
          <t>10K solicitudes</t>
        </is>
      </c>
      <c r="G19" s="18">
        <f>Supuestos!$B$12/10000</f>
        <v/>
      </c>
      <c r="H19" s="19" t="n">
        <v>0.01</v>
      </c>
      <c r="I19" s="20">
        <f>E19*G19*H19</f>
        <v/>
      </c>
      <c r="J19" s="21">
        <f>I19*Supuestos!$B$28</f>
        <v/>
      </c>
      <c r="K19" s="21">
        <f>J19*12</f>
        <v/>
      </c>
      <c r="L19" s="22" t="inlineStr">
        <is>
          <t>https://aws.amazon.com/cloudfront/pricing/</t>
        </is>
      </c>
    </row>
    <row r="20">
      <c r="A20" s="16" t="inlineStr">
        <is>
          <t>Redes</t>
        </is>
      </c>
      <c r="B20" s="17" t="inlineStr">
        <is>
          <t>Amazon API Gateway</t>
        </is>
      </c>
      <c r="C20" s="17" t="inlineStr">
        <is>
          <t>HTTP API</t>
        </is>
      </c>
      <c r="D20" s="16" t="inlineStr">
        <is>
          <t>us-east-2</t>
        </is>
      </c>
      <c r="E20" s="18" t="n">
        <v>1</v>
      </c>
      <c r="F20" s="16" t="inlineStr">
        <is>
          <t>1M solicitudes</t>
        </is>
      </c>
      <c r="G20" s="18">
        <f>Supuestos!$B$12/1000000</f>
        <v/>
      </c>
      <c r="H20" s="19" t="n">
        <v>1</v>
      </c>
      <c r="I20" s="20">
        <f>E20*G20*H20</f>
        <v/>
      </c>
      <c r="J20" s="21">
        <f>I20*Supuestos!$B$28</f>
        <v/>
      </c>
      <c r="K20" s="21">
        <f>J20*12</f>
        <v/>
      </c>
      <c r="L20" s="22" t="inlineStr">
        <is>
          <t>https://aws.amazon.com/api-gateway/pricing/</t>
        </is>
      </c>
    </row>
    <row r="21">
      <c r="A21" s="16" t="inlineStr">
        <is>
          <t>Redes</t>
        </is>
      </c>
      <c r="B21" s="17" t="inlineStr">
        <is>
          <t>Application Load Balancer</t>
        </is>
      </c>
      <c r="C21" s="17" t="inlineStr">
        <is>
          <t>1 por región (hora + LCU estimado)</t>
        </is>
      </c>
      <c r="D21" s="16" t="inlineStr">
        <is>
          <t>Ambas</t>
        </is>
      </c>
      <c r="E21" s="18" t="n">
        <v>2</v>
      </c>
      <c r="F21" s="16" t="inlineStr">
        <is>
          <t>ALB-hora</t>
        </is>
      </c>
      <c r="G21" s="18">
        <f>Supuestos!$B$4</f>
        <v/>
      </c>
      <c r="H21" s="19" t="n">
        <v>0.0385</v>
      </c>
      <c r="I21" s="20">
        <f>E21*G21*H21</f>
        <v/>
      </c>
      <c r="J21" s="21">
        <f>I21*Supuestos!$B$28</f>
        <v/>
      </c>
      <c r="K21" s="21">
        <f>J21*12</f>
        <v/>
      </c>
      <c r="L21" s="22" t="inlineStr">
        <is>
          <t>https://aws.amazon.com/elasticloadbalancing/pricing/</t>
        </is>
      </c>
    </row>
    <row r="22">
      <c r="A22" s="16" t="inlineStr">
        <is>
          <t>Redes</t>
        </is>
      </c>
      <c r="B22" s="17" t="inlineStr">
        <is>
          <t>NAT Gateway</t>
        </is>
      </c>
      <c r="C22" s="17" t="inlineStr">
        <is>
          <t>1 por región</t>
        </is>
      </c>
      <c r="D22" s="16" t="inlineStr">
        <is>
          <t>Ambas</t>
        </is>
      </c>
      <c r="E22" s="18" t="n">
        <v>2</v>
      </c>
      <c r="F22" s="16" t="inlineStr">
        <is>
          <t>gateway-hora</t>
        </is>
      </c>
      <c r="G22" s="18">
        <f>Supuestos!$B$4</f>
        <v/>
      </c>
      <c r="H22" s="19" t="n">
        <v>0.045</v>
      </c>
      <c r="I22" s="20">
        <f>E22*G22*H22</f>
        <v/>
      </c>
      <c r="J22" s="21">
        <f>I22*Supuestos!$B$28</f>
        <v/>
      </c>
      <c r="K22" s="21">
        <f>J22*12</f>
        <v/>
      </c>
      <c r="L22" s="22" t="inlineStr">
        <is>
          <t>https://aws.amazon.com/vpc/pricing/</t>
        </is>
      </c>
    </row>
    <row r="23">
      <c r="A23" s="16" t="inlineStr">
        <is>
          <t>Redes</t>
        </is>
      </c>
      <c r="B23" s="17" t="inlineStr">
        <is>
          <t>NAT Gateway - datos procesados</t>
        </is>
      </c>
      <c r="C23" s="17" t="inlineStr">
        <is>
          <t>Tráfico saliente de los nodos</t>
        </is>
      </c>
      <c r="D23" s="16" t="inlineStr">
        <is>
          <t>Ambas</t>
        </is>
      </c>
      <c r="E23" s="18" t="n">
        <v>1</v>
      </c>
      <c r="F23" s="16" t="inlineStr">
        <is>
          <t>GB</t>
        </is>
      </c>
      <c r="G23" s="18" t="n">
        <v>200</v>
      </c>
      <c r="H23" s="19" t="n">
        <v>0.045</v>
      </c>
      <c r="I23" s="20">
        <f>E23*G23*H23</f>
        <v/>
      </c>
      <c r="J23" s="21">
        <f>I23*Supuestos!$B$28</f>
        <v/>
      </c>
      <c r="K23" s="21">
        <f>J23*12</f>
        <v/>
      </c>
      <c r="L23" s="22" t="inlineStr">
        <is>
          <t>https://aws.amazon.com/vpc/pricing/</t>
        </is>
      </c>
    </row>
    <row r="24">
      <c r="A24" s="16" t="inlineStr">
        <is>
          <t>Redes</t>
        </is>
      </c>
      <c r="B24" s="17" t="inlineStr">
        <is>
          <t>VPC Interface Endpoints (PrivateLink)</t>
        </is>
      </c>
      <c r="C24" s="17" t="inlineStr">
        <is>
          <t>8 endpoints x 2 zonas</t>
        </is>
      </c>
      <c r="D24" s="16" t="inlineStr">
        <is>
          <t>us-east-2</t>
        </is>
      </c>
      <c r="E24" s="18" t="n">
        <v>16</v>
      </c>
      <c r="F24" s="16" t="inlineStr">
        <is>
          <t>endpoint-hora</t>
        </is>
      </c>
      <c r="G24" s="18">
        <f>Supuestos!$B$4</f>
        <v/>
      </c>
      <c r="H24" s="19" t="n">
        <v>0.01</v>
      </c>
      <c r="I24" s="20">
        <f>E24*G24*H24</f>
        <v/>
      </c>
      <c r="J24" s="21">
        <f>I24*Supuestos!$B$28</f>
        <v/>
      </c>
      <c r="K24" s="21">
        <f>J24*12</f>
        <v/>
      </c>
      <c r="L24" s="22" t="inlineStr">
        <is>
          <t>https://aws.amazon.com/privatelink/pricing/</t>
        </is>
      </c>
    </row>
    <row r="25">
      <c r="A25" s="16" t="inlineStr">
        <is>
          <t>Redes</t>
        </is>
      </c>
      <c r="B25" s="17" t="inlineStr">
        <is>
          <t>Transferencia entre regiones</t>
        </is>
      </c>
      <c r="C25" s="17" t="inlineStr">
        <is>
          <t>us-east-2 a us-west-2</t>
        </is>
      </c>
      <c r="D25" s="16" t="inlineStr">
        <is>
          <t>Ambas</t>
        </is>
      </c>
      <c r="E25" s="18" t="n">
        <v>1</v>
      </c>
      <c r="F25" s="16" t="inlineStr">
        <is>
          <t>GB</t>
        </is>
      </c>
      <c r="G25" s="18">
        <f>Supuestos!$B$24</f>
        <v/>
      </c>
      <c r="H25" s="19" t="n">
        <v>0.02</v>
      </c>
      <c r="I25" s="20">
        <f>E25*G25*H25</f>
        <v/>
      </c>
      <c r="J25" s="21">
        <f>I25*Supuestos!$B$28</f>
        <v/>
      </c>
      <c r="K25" s="21">
        <f>J25*12</f>
        <v/>
      </c>
      <c r="L25" s="22" t="inlineStr">
        <is>
          <t>https://aws.amazon.com/ec2/pricing/on-demand/#Data_Transfer</t>
        </is>
      </c>
    </row>
    <row r="26">
      <c r="A26" s="16" t="inlineStr">
        <is>
          <t>Redes</t>
        </is>
      </c>
      <c r="B26" s="17" t="inlineStr">
        <is>
          <t>Amazon Route 53</t>
        </is>
      </c>
      <c r="C26" s="17" t="inlineStr">
        <is>
          <t>1 zona, 2 health checks, 10M consultas</t>
        </is>
      </c>
      <c r="D26" s="16" t="inlineStr">
        <is>
          <t>Global</t>
        </is>
      </c>
      <c r="E26" s="18" t="n">
        <v>1</v>
      </c>
      <c r="F26" s="16" t="inlineStr">
        <is>
          <t>mes</t>
        </is>
      </c>
      <c r="G26" s="18" t="n">
        <v>1</v>
      </c>
      <c r="H26" s="19" t="n">
        <v>6</v>
      </c>
      <c r="I26" s="20">
        <f>E26*G26*H26</f>
        <v/>
      </c>
      <c r="J26" s="21">
        <f>I26*Supuestos!$B$28</f>
        <v/>
      </c>
      <c r="K26" s="21">
        <f>J26*12</f>
        <v/>
      </c>
      <c r="L26" s="22" t="inlineStr">
        <is>
          <t>https://aws.amazon.com/route53/pricing/</t>
        </is>
      </c>
    </row>
    <row r="27">
      <c r="A27" s="23" t="inlineStr">
        <is>
          <t>Seguridad</t>
        </is>
      </c>
      <c r="B27" s="24" t="inlineStr">
        <is>
          <t>Amazon Cognito</t>
        </is>
      </c>
      <c r="C27" s="24" t="inlineStr">
        <is>
          <t>Usuarios federados OIDC (50 MAU gratis)</t>
        </is>
      </c>
      <c r="D27" s="23" t="inlineStr">
        <is>
          <t>us-east-2</t>
        </is>
      </c>
      <c r="E27" s="25">
        <f>MAX(0,Supuestos!$B$6+Supuestos!$B$7-50)</f>
        <v/>
      </c>
      <c r="F27" s="23" t="inlineStr">
        <is>
          <t>MAU</t>
        </is>
      </c>
      <c r="G27" s="25" t="n">
        <v>1</v>
      </c>
      <c r="H27" s="26" t="n">
        <v>0.015</v>
      </c>
      <c r="I27" s="27">
        <f>E27*G27*H27</f>
        <v/>
      </c>
      <c r="J27" s="28">
        <f>I27*Supuestos!$B$28</f>
        <v/>
      </c>
      <c r="K27" s="28">
        <f>J27*12</f>
        <v/>
      </c>
      <c r="L27" s="29" t="inlineStr">
        <is>
          <t>https://aws.amazon.com/cognito/pricing/</t>
        </is>
      </c>
    </row>
    <row r="28">
      <c r="A28" s="23" t="inlineStr">
        <is>
          <t>Seguridad</t>
        </is>
      </c>
      <c r="B28" s="24" t="inlineStr">
        <is>
          <t>AWS WAF</t>
        </is>
      </c>
      <c r="C28" s="24" t="inlineStr">
        <is>
          <t>1 Web ACL + 10 reglas</t>
        </is>
      </c>
      <c r="D28" s="23" t="inlineStr">
        <is>
          <t>Global</t>
        </is>
      </c>
      <c r="E28" s="25" t="n">
        <v>1</v>
      </c>
      <c r="F28" s="23" t="inlineStr">
        <is>
          <t>mes</t>
        </is>
      </c>
      <c r="G28" s="25" t="n">
        <v>1</v>
      </c>
      <c r="H28" s="26" t="n">
        <v>15</v>
      </c>
      <c r="I28" s="27">
        <f>E28*G28*H28</f>
        <v/>
      </c>
      <c r="J28" s="28">
        <f>I28*Supuestos!$B$28</f>
        <v/>
      </c>
      <c r="K28" s="28">
        <f>J28*12</f>
        <v/>
      </c>
      <c r="L28" s="29" t="inlineStr">
        <is>
          <t>https://aws.amazon.com/waf/pricing/</t>
        </is>
      </c>
    </row>
    <row r="29">
      <c r="A29" s="23" t="inlineStr">
        <is>
          <t>Seguridad</t>
        </is>
      </c>
      <c r="B29" s="24" t="inlineStr">
        <is>
          <t>AWS WAF</t>
        </is>
      </c>
      <c r="C29" s="24" t="inlineStr">
        <is>
          <t>Solicitudes inspeccionadas</t>
        </is>
      </c>
      <c r="D29" s="23" t="inlineStr">
        <is>
          <t>Global</t>
        </is>
      </c>
      <c r="E29" s="25" t="n">
        <v>1</v>
      </c>
      <c r="F29" s="23" t="inlineStr">
        <is>
          <t>1M solicitudes</t>
        </is>
      </c>
      <c r="G29" s="25">
        <f>Supuestos!$B$12/1000000</f>
        <v/>
      </c>
      <c r="H29" s="26" t="n">
        <v>0.6</v>
      </c>
      <c r="I29" s="27">
        <f>E29*G29*H29</f>
        <v/>
      </c>
      <c r="J29" s="28">
        <f>I29*Supuestos!$B$28</f>
        <v/>
      </c>
      <c r="K29" s="28">
        <f>J29*12</f>
        <v/>
      </c>
      <c r="L29" s="29" t="inlineStr">
        <is>
          <t>https://aws.amazon.com/waf/pricing/</t>
        </is>
      </c>
    </row>
    <row r="30">
      <c r="A30" s="23" t="inlineStr">
        <is>
          <t>Seguridad</t>
        </is>
      </c>
      <c r="B30" s="24" t="inlineStr">
        <is>
          <t>AWS Secrets Manager + KMS</t>
        </is>
      </c>
      <c r="C30" s="24" t="inlineStr">
        <is>
          <t>20 secretos + 2 llaves</t>
        </is>
      </c>
      <c r="D30" s="23" t="inlineStr">
        <is>
          <t>Ambas</t>
        </is>
      </c>
      <c r="E30" s="25" t="n">
        <v>1</v>
      </c>
      <c r="F30" s="23" t="inlineStr">
        <is>
          <t>mes</t>
        </is>
      </c>
      <c r="G30" s="25" t="n">
        <v>1</v>
      </c>
      <c r="H30" s="26" t="n">
        <v>10</v>
      </c>
      <c r="I30" s="27">
        <f>E30*G30*H30</f>
        <v/>
      </c>
      <c r="J30" s="28">
        <f>I30*Supuestos!$B$28</f>
        <v/>
      </c>
      <c r="K30" s="28">
        <f>J30*12</f>
        <v/>
      </c>
      <c r="L30" s="29" t="inlineStr">
        <is>
          <t>https://aws.amazon.com/secrets-manager/pricing/</t>
        </is>
      </c>
    </row>
    <row r="31">
      <c r="A31" s="23" t="inlineStr">
        <is>
          <t>Seguridad</t>
        </is>
      </c>
      <c r="B31" s="24" t="inlineStr">
        <is>
          <t>Amazon GuardDuty</t>
        </is>
      </c>
      <c r="C31" s="24" t="inlineStr">
        <is>
          <t>Protección de EKS en tiempo de ejecución (aprox.)</t>
        </is>
      </c>
      <c r="D31" s="23" t="inlineStr">
        <is>
          <t>Ambas</t>
        </is>
      </c>
      <c r="E31" s="25">
        <f>(Supuestos!$B$25+Supuestos!$B$26)*Supuestos!$B$27</f>
        <v/>
      </c>
      <c r="F31" s="23" t="inlineStr">
        <is>
          <t>vCPU-mes</t>
        </is>
      </c>
      <c r="G31" s="25" t="n">
        <v>1</v>
      </c>
      <c r="H31" s="26" t="n">
        <v>1.5</v>
      </c>
      <c r="I31" s="27">
        <f>E31*G31*H31</f>
        <v/>
      </c>
      <c r="J31" s="28">
        <f>I31*Supuestos!$B$28</f>
        <v/>
      </c>
      <c r="K31" s="28">
        <f>J31*12</f>
        <v/>
      </c>
      <c r="L31" s="29" t="inlineStr">
        <is>
          <t>https://aws.amazon.com/guardduty/pricing/</t>
        </is>
      </c>
    </row>
    <row r="32">
      <c r="A32" s="23" t="inlineStr">
        <is>
          <t>Seguridad</t>
        </is>
      </c>
      <c r="B32" s="24" t="inlineStr">
        <is>
          <t>AWS Security Hub</t>
        </is>
      </c>
      <c r="C32" s="24" t="inlineStr">
        <is>
          <t>Controles de cumplimiento (aprox.)</t>
        </is>
      </c>
      <c r="D32" s="23" t="inlineStr">
        <is>
          <t>Ambas</t>
        </is>
      </c>
      <c r="E32" s="25" t="n">
        <v>1</v>
      </c>
      <c r="F32" s="23" t="inlineStr">
        <is>
          <t>mes</t>
        </is>
      </c>
      <c r="G32" s="25" t="n">
        <v>1</v>
      </c>
      <c r="H32" s="26" t="n">
        <v>10</v>
      </c>
      <c r="I32" s="27">
        <f>E32*G32*H32</f>
        <v/>
      </c>
      <c r="J32" s="28">
        <f>I32*Supuestos!$B$28</f>
        <v/>
      </c>
      <c r="K32" s="28">
        <f>J32*12</f>
        <v/>
      </c>
      <c r="L32" s="29" t="inlineStr">
        <is>
          <t>https://aws.amazon.com/security-hub/pricing/</t>
        </is>
      </c>
    </row>
    <row r="33">
      <c r="A33" s="23" t="inlineStr">
        <is>
          <t>Seguridad</t>
        </is>
      </c>
      <c r="B33" s="24" t="inlineStr">
        <is>
          <t>AWS Certificate Manager</t>
        </is>
      </c>
      <c r="C33" s="24" t="inlineStr">
        <is>
          <t>Certificados TLS públicos</t>
        </is>
      </c>
      <c r="D33" s="23" t="inlineStr">
        <is>
          <t>Global</t>
        </is>
      </c>
      <c r="E33" s="25" t="n">
        <v>1</v>
      </c>
      <c r="F33" s="23" t="inlineStr">
        <is>
          <t>mes</t>
        </is>
      </c>
      <c r="G33" s="25" t="n">
        <v>1</v>
      </c>
      <c r="H33" s="26" t="n">
        <v>0</v>
      </c>
      <c r="I33" s="27">
        <f>E33*G33*H33</f>
        <v/>
      </c>
      <c r="J33" s="28">
        <f>I33*Supuestos!$B$28</f>
        <v/>
      </c>
      <c r="K33" s="28">
        <f>J33*12</f>
        <v/>
      </c>
      <c r="L33" s="29" t="inlineStr">
        <is>
          <t>https://aws.amazon.com/certificate-manager/pricing/</t>
        </is>
      </c>
    </row>
    <row r="34">
      <c r="A34" s="16" t="inlineStr">
        <is>
          <t>Monitoreo y Logs</t>
        </is>
      </c>
      <c r="B34" s="17" t="inlineStr">
        <is>
          <t>CloudWatch Logs</t>
        </is>
      </c>
      <c r="C34" s="17" t="inlineStr">
        <is>
          <t>Ingesta</t>
        </is>
      </c>
      <c r="D34" s="16" t="inlineStr">
        <is>
          <t>us-east-2</t>
        </is>
      </c>
      <c r="E34" s="18" t="n">
        <v>1</v>
      </c>
      <c r="F34" s="16" t="inlineStr">
        <is>
          <t>GB</t>
        </is>
      </c>
      <c r="G34" s="18">
        <f>Supuestos!$B$19</f>
        <v/>
      </c>
      <c r="H34" s="19" t="n">
        <v>0.5</v>
      </c>
      <c r="I34" s="20">
        <f>E34*G34*H34</f>
        <v/>
      </c>
      <c r="J34" s="21">
        <f>I34*Supuestos!$B$28</f>
        <v/>
      </c>
      <c r="K34" s="21">
        <f>J34*12</f>
        <v/>
      </c>
      <c r="L34" s="22" t="inlineStr">
        <is>
          <t>https://aws.amazon.com/cloudwatch/pricing/</t>
        </is>
      </c>
    </row>
    <row r="35">
      <c r="A35" s="16" t="inlineStr">
        <is>
          <t>Monitoreo y Logs</t>
        </is>
      </c>
      <c r="B35" s="17" t="inlineStr">
        <is>
          <t>CloudWatch Logs</t>
        </is>
      </c>
      <c r="C35" s="17" t="inlineStr">
        <is>
          <t>Almacenamiento</t>
        </is>
      </c>
      <c r="D35" s="16" t="inlineStr">
        <is>
          <t>us-east-2</t>
        </is>
      </c>
      <c r="E35" s="18" t="n">
        <v>1</v>
      </c>
      <c r="F35" s="16" t="inlineStr">
        <is>
          <t>GB-mes</t>
        </is>
      </c>
      <c r="G35" s="18">
        <f>Supuestos!$B$19</f>
        <v/>
      </c>
      <c r="H35" s="19" t="n">
        <v>0.03</v>
      </c>
      <c r="I35" s="20">
        <f>E35*G35*H35</f>
        <v/>
      </c>
      <c r="J35" s="21">
        <f>I35*Supuestos!$B$28</f>
        <v/>
      </c>
      <c r="K35" s="21">
        <f>J35*12</f>
        <v/>
      </c>
      <c r="L35" s="22" t="inlineStr">
        <is>
          <t>https://aws.amazon.com/cloudwatch/pricing/</t>
        </is>
      </c>
    </row>
    <row r="36">
      <c r="A36" s="16" t="inlineStr">
        <is>
          <t>Monitoreo y Logs</t>
        </is>
      </c>
      <c r="B36" s="17" t="inlineStr">
        <is>
          <t>Amazon Managed Service for Prometheus</t>
        </is>
      </c>
      <c r="C36" s="17" t="inlineStr">
        <is>
          <t>Ingesta de métricas</t>
        </is>
      </c>
      <c r="D36" s="16" t="inlineStr">
        <is>
          <t>us-east-2</t>
        </is>
      </c>
      <c r="E36" s="18" t="n">
        <v>1</v>
      </c>
      <c r="F36" s="16" t="inlineStr">
        <is>
          <t>10M muestras</t>
        </is>
      </c>
      <c r="G36" s="18">
        <f>Supuestos!$B$23/10</f>
        <v/>
      </c>
      <c r="H36" s="19" t="n">
        <v>0.9</v>
      </c>
      <c r="I36" s="20">
        <f>E36*G36*H36</f>
        <v/>
      </c>
      <c r="J36" s="21">
        <f>I36*Supuestos!$B$28</f>
        <v/>
      </c>
      <c r="K36" s="21">
        <f>J36*12</f>
        <v/>
      </c>
      <c r="L36" s="22" t="inlineStr">
        <is>
          <t>https://aws.amazon.com/prometheus/pricing/</t>
        </is>
      </c>
    </row>
    <row r="37">
      <c r="A37" s="16" t="inlineStr">
        <is>
          <t>Monitoreo y Logs</t>
        </is>
      </c>
      <c r="B37" s="17" t="inlineStr">
        <is>
          <t>Amazon Managed Grafana</t>
        </is>
      </c>
      <c r="C37" s="17" t="inlineStr">
        <is>
          <t>2 editores + 5 visualizadores</t>
        </is>
      </c>
      <c r="D37" s="16" t="inlineStr">
        <is>
          <t>us-east-2</t>
        </is>
      </c>
      <c r="E37" s="18" t="n">
        <v>1</v>
      </c>
      <c r="F37" s="16" t="inlineStr">
        <is>
          <t>mes</t>
        </is>
      </c>
      <c r="G37" s="18" t="n">
        <v>1</v>
      </c>
      <c r="H37" s="19" t="n">
        <v>43</v>
      </c>
      <c r="I37" s="20">
        <f>E37*G37*H37</f>
        <v/>
      </c>
      <c r="J37" s="21">
        <f>I37*Supuestos!$B$28</f>
        <v/>
      </c>
      <c r="K37" s="21">
        <f>J37*12</f>
        <v/>
      </c>
      <c r="L37" s="22" t="inlineStr">
        <is>
          <t>https://aws.amazon.com/grafana/pricing/</t>
        </is>
      </c>
    </row>
    <row r="38">
      <c r="A38" s="16" t="inlineStr">
        <is>
          <t>Monitoreo y Logs</t>
        </is>
      </c>
      <c r="B38" s="17" t="inlineStr">
        <is>
          <t>CloudWatch Alarms</t>
        </is>
      </c>
      <c r="C38" s="17" t="inlineStr">
        <is>
          <t>Alarmas estándar</t>
        </is>
      </c>
      <c r="D38" s="16" t="inlineStr">
        <is>
          <t>us-east-2</t>
        </is>
      </c>
      <c r="E38" s="18" t="n">
        <v>40</v>
      </c>
      <c r="F38" s="16" t="inlineStr">
        <is>
          <t>alarma-mes</t>
        </is>
      </c>
      <c r="G38" s="18" t="n">
        <v>1</v>
      </c>
      <c r="H38" s="19" t="n">
        <v>0.1</v>
      </c>
      <c r="I38" s="20">
        <f>E38*G38*H38</f>
        <v/>
      </c>
      <c r="J38" s="21">
        <f>I38*Supuestos!$B$28</f>
        <v/>
      </c>
      <c r="K38" s="21">
        <f>J38*12</f>
        <v/>
      </c>
      <c r="L38" s="22" t="inlineStr">
        <is>
          <t>https://aws.amazon.com/cloudwatch/pricing/</t>
        </is>
      </c>
    </row>
    <row r="39">
      <c r="A39" s="16" t="inlineStr">
        <is>
          <t>Monitoreo y Logs</t>
        </is>
      </c>
      <c r="B39" s="17" t="inlineStr">
        <is>
          <t>AWS X-Ray</t>
        </is>
      </c>
      <c r="C39" s="17" t="inlineStr">
        <is>
          <t>Trazas (100K gratis)</t>
        </is>
      </c>
      <c r="D39" s="16" t="inlineStr">
        <is>
          <t>us-east-2</t>
        </is>
      </c>
      <c r="E39" s="18" t="n">
        <v>1</v>
      </c>
      <c r="F39" s="16" t="inlineStr">
        <is>
          <t>1M trazas</t>
        </is>
      </c>
      <c r="G39" s="18" t="n">
        <v>5</v>
      </c>
      <c r="H39" s="19" t="n">
        <v>5</v>
      </c>
      <c r="I39" s="20">
        <f>E39*G39*H39</f>
        <v/>
      </c>
      <c r="J39" s="21">
        <f>I39*Supuestos!$B$28</f>
        <v/>
      </c>
      <c r="K39" s="21">
        <f>J39*12</f>
        <v/>
      </c>
      <c r="L39" s="22" t="inlineStr">
        <is>
          <t>https://aws.amazon.com/xray/pricing/</t>
        </is>
      </c>
    </row>
    <row r="40">
      <c r="A40" s="23" t="inlineStr">
        <is>
          <t>Servicios de Plataforma</t>
        </is>
      </c>
      <c r="B40" s="24" t="inlineStr">
        <is>
          <t>Amazon SQS + SNS</t>
        </is>
      </c>
      <c r="C40" s="24" t="inlineStr">
        <is>
          <t>Mensajería entre microservicios</t>
        </is>
      </c>
      <c r="D40" s="23" t="inlineStr">
        <is>
          <t>us-east-2</t>
        </is>
      </c>
      <c r="E40" s="25" t="n">
        <v>1</v>
      </c>
      <c r="F40" s="23" t="inlineStr">
        <is>
          <t>1M solicitudes</t>
        </is>
      </c>
      <c r="G40" s="25" t="n">
        <v>50</v>
      </c>
      <c r="H40" s="26" t="n">
        <v>0.4</v>
      </c>
      <c r="I40" s="27">
        <f>E40*G40*H40</f>
        <v/>
      </c>
      <c r="J40" s="28">
        <f>I40*Supuestos!$B$28</f>
        <v/>
      </c>
      <c r="K40" s="28">
        <f>J40*12</f>
        <v/>
      </c>
      <c r="L40" s="29" t="inlineStr">
        <is>
          <t>https://aws.amazon.com/sqs/pricing/</t>
        </is>
      </c>
    </row>
    <row r="41">
      <c r="A41" s="23" t="inlineStr">
        <is>
          <t>Servicios de Plataforma</t>
        </is>
      </c>
      <c r="B41" s="24" t="inlineStr">
        <is>
          <t>Amazon Bedrock</t>
        </is>
      </c>
      <c r="C41" s="24" t="inlineStr">
        <is>
          <t>Amazon Nova Pro - tokens de entrada</t>
        </is>
      </c>
      <c r="D41" s="23" t="inlineStr">
        <is>
          <t>us-east-2</t>
        </is>
      </c>
      <c r="E41" s="25" t="n">
        <v>1</v>
      </c>
      <c r="F41" s="23" t="inlineStr">
        <is>
          <t>1M tokens</t>
        </is>
      </c>
      <c r="G41" s="25">
        <f>Supuestos!$B$8*Supuestos!$B$13/1000000</f>
        <v/>
      </c>
      <c r="H41" s="26" t="n">
        <v>0.8</v>
      </c>
      <c r="I41" s="27">
        <f>E41*G41*H41</f>
        <v/>
      </c>
      <c r="J41" s="28">
        <f>I41*Supuestos!$B$28</f>
        <v/>
      </c>
      <c r="K41" s="28">
        <f>J41*12</f>
        <v/>
      </c>
      <c r="L41" s="29" t="inlineStr">
        <is>
          <t>https://aws.amazon.com/bedrock/pricing/</t>
        </is>
      </c>
    </row>
    <row r="42">
      <c r="A42" s="23" t="inlineStr">
        <is>
          <t>Servicios de Plataforma</t>
        </is>
      </c>
      <c r="B42" s="24" t="inlineStr">
        <is>
          <t>Amazon Bedrock</t>
        </is>
      </c>
      <c r="C42" s="24" t="inlineStr">
        <is>
          <t>Amazon Nova Pro - tokens de salida</t>
        </is>
      </c>
      <c r="D42" s="23" t="inlineStr">
        <is>
          <t>us-east-2</t>
        </is>
      </c>
      <c r="E42" s="25" t="n">
        <v>1</v>
      </c>
      <c r="F42" s="23" t="inlineStr">
        <is>
          <t>1M tokens</t>
        </is>
      </c>
      <c r="G42" s="25">
        <f>Supuestos!$B$8*Supuestos!$B$14/1000000</f>
        <v/>
      </c>
      <c r="H42" s="26" t="n">
        <v>3.2</v>
      </c>
      <c r="I42" s="27">
        <f>E42*G42*H42</f>
        <v/>
      </c>
      <c r="J42" s="28">
        <f>I42*Supuestos!$B$28</f>
        <v/>
      </c>
      <c r="K42" s="28">
        <f>J42*12</f>
        <v/>
      </c>
      <c r="L42" s="29" t="inlineStr">
        <is>
          <t>https://aws.amazon.com/bedrock/pricing/</t>
        </is>
      </c>
    </row>
    <row r="43">
      <c r="A43" s="23" t="inlineStr">
        <is>
          <t>Servicios de Plataforma</t>
        </is>
      </c>
      <c r="B43" s="24" t="inlineStr">
        <is>
          <t>Amazon Location Service</t>
        </is>
      </c>
      <c r="C43" s="24" t="inlineStr">
        <is>
          <t>Búsqueda de texto (Core)</t>
        </is>
      </c>
      <c r="D43" s="23" t="inlineStr">
        <is>
          <t>us-east-2</t>
        </is>
      </c>
      <c r="E43" s="25" t="n">
        <v>1</v>
      </c>
      <c r="F43" s="23" t="inlineStr">
        <is>
          <t>1K solicitudes</t>
        </is>
      </c>
      <c r="G43" s="25">
        <f>Supuestos!$B$10/1000</f>
        <v/>
      </c>
      <c r="H43" s="26" t="n">
        <v>0.5</v>
      </c>
      <c r="I43" s="27">
        <f>E43*G43*H43</f>
        <v/>
      </c>
      <c r="J43" s="28">
        <f>I43*Supuestos!$B$28</f>
        <v/>
      </c>
      <c r="K43" s="28">
        <f>J43*12</f>
        <v/>
      </c>
      <c r="L43" s="29" t="inlineStr">
        <is>
          <t>https://aws.amazon.com/location/pricing/</t>
        </is>
      </c>
    </row>
    <row r="44">
      <c r="A44" s="23" t="inlineStr">
        <is>
          <t>Servicios de Plataforma</t>
        </is>
      </c>
      <c r="B44" s="24" t="inlineStr">
        <is>
          <t>Amazon Location Service</t>
        </is>
      </c>
      <c r="C44" s="24" t="inlineStr">
        <is>
          <t>Cálculo de rutas</t>
        </is>
      </c>
      <c r="D44" s="23" t="inlineStr">
        <is>
          <t>us-east-2</t>
        </is>
      </c>
      <c r="E44" s="25" t="n">
        <v>1</v>
      </c>
      <c r="F44" s="23" t="inlineStr">
        <is>
          <t>1K rutas</t>
        </is>
      </c>
      <c r="G44" s="25">
        <f>Supuestos!$B$10/1000</f>
        <v/>
      </c>
      <c r="H44" s="26" t="n">
        <v>0.5</v>
      </c>
      <c r="I44" s="27">
        <f>E44*G44*H44</f>
        <v/>
      </c>
      <c r="J44" s="28">
        <f>I44*Supuestos!$B$28</f>
        <v/>
      </c>
      <c r="K44" s="28">
        <f>J44*12</f>
        <v/>
      </c>
      <c r="L44" s="29" t="inlineStr">
        <is>
          <t>https://aws.amazon.com/location/pricing/</t>
        </is>
      </c>
    </row>
    <row r="45">
      <c r="A45" s="23" t="inlineStr">
        <is>
          <t>Servicios de Plataforma</t>
        </is>
      </c>
      <c r="B45" s="24" t="inlineStr">
        <is>
          <t>AWS End User Messaging SMS</t>
        </is>
      </c>
      <c r="C45" s="24" t="inlineStr">
        <is>
          <t>SMS número gratuito EE. UU. (incluye recargo de operador)</t>
        </is>
      </c>
      <c r="D45" s="23" t="inlineStr">
        <is>
          <t>us-east-2</t>
        </is>
      </c>
      <c r="E45" s="25" t="n">
        <v>1</v>
      </c>
      <c r="F45" s="23" t="inlineStr">
        <is>
          <t>mensaje</t>
        </is>
      </c>
      <c r="G45" s="25">
        <f>Supuestos!$B$10</f>
        <v/>
      </c>
      <c r="H45" s="26" t="n">
        <v>0.00831</v>
      </c>
      <c r="I45" s="27">
        <f>E45*G45*H45</f>
        <v/>
      </c>
      <c r="J45" s="28">
        <f>I45*Supuestos!$B$28</f>
        <v/>
      </c>
      <c r="K45" s="28">
        <f>J45*12</f>
        <v/>
      </c>
      <c r="L45" s="29" t="inlineStr">
        <is>
          <t>https://aws.amazon.com/end-user-messaging/pricing/</t>
        </is>
      </c>
    </row>
    <row r="46">
      <c r="A46" s="23" t="inlineStr">
        <is>
          <t>Servicios de Plataforma</t>
        </is>
      </c>
      <c r="B46" s="24" t="inlineStr">
        <is>
          <t>Amazon Connect</t>
        </is>
      </c>
      <c r="C46" s="24" t="inlineStr">
        <is>
          <t>Llamada de voz saliente EE. UU. (servicio + telefonía)</t>
        </is>
      </c>
      <c r="D46" s="23" t="inlineStr">
        <is>
          <t>us-east-2</t>
        </is>
      </c>
      <c r="E46" s="25" t="n">
        <v>1</v>
      </c>
      <c r="F46" s="23" t="inlineStr">
        <is>
          <t>minuto</t>
        </is>
      </c>
      <c r="G46" s="25">
        <f>Supuestos!$B$10*Supuestos!$B$21*Supuestos!$B$22</f>
        <v/>
      </c>
      <c r="H46" s="26" t="n">
        <v>0.022</v>
      </c>
      <c r="I46" s="27">
        <f>E46*G46*H46</f>
        <v/>
      </c>
      <c r="J46" s="28">
        <f>I46*Supuestos!$B$28</f>
        <v/>
      </c>
      <c r="K46" s="28">
        <f>J46*12</f>
        <v/>
      </c>
      <c r="L46" s="29" t="inlineStr">
        <is>
          <t>https://aws.amazon.com/connect/pricing/</t>
        </is>
      </c>
    </row>
    <row r="47">
      <c r="A47" s="23" t="inlineStr">
        <is>
          <t>Servicios de Plataforma</t>
        </is>
      </c>
      <c r="B47" s="24" t="inlineStr">
        <is>
          <t>Amazon SES</t>
        </is>
      </c>
      <c r="C47" s="24" t="inlineStr">
        <is>
          <t>Correo electrónico</t>
        </is>
      </c>
      <c r="D47" s="23" t="inlineStr">
        <is>
          <t>us-east-2</t>
        </is>
      </c>
      <c r="E47" s="25" t="n">
        <v>1</v>
      </c>
      <c r="F47" s="23" t="inlineStr">
        <is>
          <t>correo</t>
        </is>
      </c>
      <c r="G47" s="25">
        <f>Supuestos!$B$10</f>
        <v/>
      </c>
      <c r="H47" s="26" t="n">
        <v>0.0001</v>
      </c>
      <c r="I47" s="27">
        <f>E47*G47*H47</f>
        <v/>
      </c>
      <c r="J47" s="28">
        <f>I47*Supuestos!$B$28</f>
        <v/>
      </c>
      <c r="K47" s="28">
        <f>J47*12</f>
        <v/>
      </c>
      <c r="L47" s="29" t="inlineStr">
        <is>
          <t>https://aws.amazon.com/ses/pricing/</t>
        </is>
      </c>
    </row>
    <row r="48">
      <c r="A48" s="23" t="inlineStr">
        <is>
          <t>Servicios de Plataforma</t>
        </is>
      </c>
      <c r="B48" s="24" t="inlineStr">
        <is>
          <t>Amazon Connect</t>
        </is>
      </c>
      <c r="C48" s="24" t="inlineStr">
        <is>
          <t>Número telefónico gratuito</t>
        </is>
      </c>
      <c r="D48" s="23" t="inlineStr">
        <is>
          <t>us-east-2</t>
        </is>
      </c>
      <c r="E48" s="25" t="n">
        <v>1</v>
      </c>
      <c r="F48" s="23" t="inlineStr">
        <is>
          <t>número-día</t>
        </is>
      </c>
      <c r="G48" s="25">
        <f>Supuestos!$B$5</f>
        <v/>
      </c>
      <c r="H48" s="26" t="n">
        <v>0.06</v>
      </c>
      <c r="I48" s="27">
        <f>E48*G48*H48</f>
        <v/>
      </c>
      <c r="J48" s="28">
        <f>I48*Supuestos!$B$28</f>
        <v/>
      </c>
      <c r="K48" s="28">
        <f>J48*12</f>
        <v/>
      </c>
      <c r="L48" s="29" t="inlineStr">
        <is>
          <t>https://aws.amazon.com/connect/pricing/</t>
        </is>
      </c>
    </row>
    <row r="49">
      <c r="A49" s="30" t="inlineStr">
        <is>
          <t>Ambiente Dev/Test</t>
        </is>
      </c>
      <c r="B49" s="31" t="inlineStr">
        <is>
          <t>EKS</t>
        </is>
      </c>
      <c r="C49" s="31" t="inlineStr">
        <is>
          <t>Plano de control</t>
        </is>
      </c>
      <c r="D49" s="30" t="inlineStr">
        <is>
          <t>us-east-2</t>
        </is>
      </c>
      <c r="E49" s="32" t="n">
        <v>1</v>
      </c>
      <c r="F49" s="30" t="inlineStr">
        <is>
          <t>clúster-hora</t>
        </is>
      </c>
      <c r="G49" s="32">
        <f>Supuestos!$B$4</f>
        <v/>
      </c>
      <c r="H49" s="33" t="n">
        <v>0.1</v>
      </c>
      <c r="I49" s="34">
        <f>E49*G49*H49</f>
        <v/>
      </c>
      <c r="J49" s="35">
        <f>I49*Supuestos!$B$28</f>
        <v/>
      </c>
      <c r="K49" s="35">
        <f>J49*12</f>
        <v/>
      </c>
      <c r="L49" s="36" t="inlineStr">
        <is>
          <t>https://aws.amazon.com/eks/pricing/</t>
        </is>
      </c>
    </row>
    <row r="50">
      <c r="A50" s="30" t="inlineStr">
        <is>
          <t>Ambiente Dev/Test</t>
        </is>
      </c>
      <c r="B50" s="31" t="inlineStr">
        <is>
          <t>EKS - nodos</t>
        </is>
      </c>
      <c r="C50" s="31" t="inlineStr">
        <is>
          <t>m6i.large (2 vCPU, 8 GB)</t>
        </is>
      </c>
      <c r="D50" s="30" t="inlineStr">
        <is>
          <t>us-east-2</t>
        </is>
      </c>
      <c r="E50" s="32" t="n">
        <v>2</v>
      </c>
      <c r="F50" s="30" t="inlineStr">
        <is>
          <t>nodo-hora</t>
        </is>
      </c>
      <c r="G50" s="32">
        <f>Supuestos!$B$4</f>
        <v/>
      </c>
      <c r="H50" s="33" t="n">
        <v>0.096</v>
      </c>
      <c r="I50" s="34">
        <f>E50*G50*H50</f>
        <v/>
      </c>
      <c r="J50" s="35">
        <f>I50*Supuestos!$B$28</f>
        <v/>
      </c>
      <c r="K50" s="35">
        <f>J50*12</f>
        <v/>
      </c>
      <c r="L50" s="36" t="inlineStr">
        <is>
          <t>https://aws.amazon.com/ec2/pricing/on-demand/</t>
        </is>
      </c>
    </row>
    <row r="51">
      <c r="A51" s="30" t="inlineStr">
        <is>
          <t>Ambiente Dev/Test</t>
        </is>
      </c>
      <c r="B51" s="31" t="inlineStr">
        <is>
          <t>RDS for PostgreSQL</t>
        </is>
      </c>
      <c r="C51" s="31" t="inlineStr">
        <is>
          <t>db.t4g.small Single-AZ + 64 GB</t>
        </is>
      </c>
      <c r="D51" s="30" t="inlineStr">
        <is>
          <t>us-east-2</t>
        </is>
      </c>
      <c r="E51" s="32" t="n">
        <v>1</v>
      </c>
      <c r="F51" s="30" t="inlineStr">
        <is>
          <t>instancia-hora</t>
        </is>
      </c>
      <c r="G51" s="32">
        <f>Supuestos!$B$4</f>
        <v/>
      </c>
      <c r="H51" s="33" t="n">
        <v>0.032</v>
      </c>
      <c r="I51" s="34">
        <f>E51*G51*H51</f>
        <v/>
      </c>
      <c r="J51" s="35">
        <f>I51*Supuestos!$B$28</f>
        <v/>
      </c>
      <c r="K51" s="35">
        <f>J51*12</f>
        <v/>
      </c>
      <c r="L51" s="36" t="inlineStr">
        <is>
          <t>https://aws.amazon.com/rds/postgresql/pricing/</t>
        </is>
      </c>
    </row>
    <row r="52">
      <c r="A52" s="30" t="inlineStr">
        <is>
          <t>Ambiente Dev/Test</t>
        </is>
      </c>
      <c r="B52" s="31" t="inlineStr">
        <is>
          <t>RDS - almacenamiento</t>
        </is>
      </c>
      <c r="C52" s="31" t="inlineStr">
        <is>
          <t>64 GB gp3</t>
        </is>
      </c>
      <c r="D52" s="30" t="inlineStr">
        <is>
          <t>us-east-2</t>
        </is>
      </c>
      <c r="E52" s="32" t="n">
        <v>1</v>
      </c>
      <c r="F52" s="30" t="inlineStr">
        <is>
          <t>GB-mes</t>
        </is>
      </c>
      <c r="G52" s="32" t="n">
        <v>64</v>
      </c>
      <c r="H52" s="33" t="n">
        <v>0.115</v>
      </c>
      <c r="I52" s="34">
        <f>E52*G52*H52</f>
        <v/>
      </c>
      <c r="J52" s="35">
        <f>I52*Supuestos!$B$28</f>
        <v/>
      </c>
      <c r="K52" s="35">
        <f>J52*12</f>
        <v/>
      </c>
      <c r="L52" s="36" t="inlineStr">
        <is>
          <t>https://aws.amazon.com/rds/postgresql/pricing/</t>
        </is>
      </c>
    </row>
    <row r="53">
      <c r="A53" s="30" t="inlineStr">
        <is>
          <t>Ambiente Dev/Test</t>
        </is>
      </c>
      <c r="B53" s="31" t="inlineStr">
        <is>
          <t>ElastiCache</t>
        </is>
      </c>
      <c r="C53" s="31" t="inlineStr">
        <is>
          <t>cache.t4g.small</t>
        </is>
      </c>
      <c r="D53" s="30" t="inlineStr">
        <is>
          <t>us-east-2</t>
        </is>
      </c>
      <c r="E53" s="32" t="n">
        <v>1</v>
      </c>
      <c r="F53" s="30" t="inlineStr">
        <is>
          <t>nodo-hora</t>
        </is>
      </c>
      <c r="G53" s="32">
        <f>Supuestos!$B$4</f>
        <v/>
      </c>
      <c r="H53" s="33" t="n">
        <v>0.032</v>
      </c>
      <c r="I53" s="34">
        <f>E53*G53*H53</f>
        <v/>
      </c>
      <c r="J53" s="35">
        <f>I53*Supuestos!$B$28</f>
        <v/>
      </c>
      <c r="K53" s="35">
        <f>J53*12</f>
        <v/>
      </c>
      <c r="L53" s="36" t="inlineStr">
        <is>
          <t>https://aws.amazon.com/elasticache/pricing/</t>
        </is>
      </c>
    </row>
    <row r="54">
      <c r="A54" s="30" t="inlineStr">
        <is>
          <t>Ambiente Dev/Test</t>
        </is>
      </c>
      <c r="B54" s="31" t="inlineStr">
        <is>
          <t>NAT Gateway</t>
        </is>
      </c>
      <c r="C54" s="31" t="inlineStr">
        <is>
          <t>1 gateway</t>
        </is>
      </c>
      <c r="D54" s="30" t="inlineStr">
        <is>
          <t>us-east-2</t>
        </is>
      </c>
      <c r="E54" s="32" t="n">
        <v>1</v>
      </c>
      <c r="F54" s="30" t="inlineStr">
        <is>
          <t>gateway-hora</t>
        </is>
      </c>
      <c r="G54" s="32">
        <f>Supuestos!$B$4</f>
        <v/>
      </c>
      <c r="H54" s="33" t="n">
        <v>0.045</v>
      </c>
      <c r="I54" s="34">
        <f>E54*G54*H54</f>
        <v/>
      </c>
      <c r="J54" s="35">
        <f>I54*Supuestos!$B$28</f>
        <v/>
      </c>
      <c r="K54" s="35">
        <f>J54*12</f>
        <v/>
      </c>
      <c r="L54" s="36" t="inlineStr">
        <is>
          <t>https://aws.amazon.com/vpc/pricing/</t>
        </is>
      </c>
    </row>
    <row r="55">
      <c r="A55" s="30" t="inlineStr">
        <is>
          <t>Ambiente Dev/Test</t>
        </is>
      </c>
      <c r="B55" s="31" t="inlineStr">
        <is>
          <t>CloudWatch Logs</t>
        </is>
      </c>
      <c r="C55" s="31" t="inlineStr">
        <is>
          <t>20 GB por mes</t>
        </is>
      </c>
      <c r="D55" s="30" t="inlineStr">
        <is>
          <t>us-east-2</t>
        </is>
      </c>
      <c r="E55" s="32" t="n">
        <v>1</v>
      </c>
      <c r="F55" s="30" t="inlineStr">
        <is>
          <t>GB</t>
        </is>
      </c>
      <c r="G55" s="32" t="n">
        <v>20</v>
      </c>
      <c r="H55" s="33" t="n">
        <v>0.5</v>
      </c>
      <c r="I55" s="34">
        <f>E55*G55*H55</f>
        <v/>
      </c>
      <c r="J55" s="35">
        <f>I55*Supuestos!$B$28</f>
        <v/>
      </c>
      <c r="K55" s="35">
        <f>J55*12</f>
        <v/>
      </c>
      <c r="L55" s="36" t="inlineStr">
        <is>
          <t>https://aws.amazon.com/cloudwatch/pricing/</t>
        </is>
      </c>
    </row>
    <row r="56">
      <c r="A56" s="37" t="inlineStr">
        <is>
          <t>TOTAL MENSUAL / ANUAL</t>
        </is>
      </c>
      <c r="B56" s="37" t="n"/>
      <c r="C56" s="37" t="n"/>
      <c r="D56" s="37" t="n"/>
      <c r="E56" s="37" t="n"/>
      <c r="F56" s="37" t="n"/>
      <c r="G56" s="37" t="n"/>
      <c r="H56" s="37" t="n"/>
      <c r="I56" s="38">
        <f>SUM(I4:I55)</f>
        <v/>
      </c>
      <c r="J56" s="39">
        <f>SUM(J4:J55)</f>
        <v/>
      </c>
      <c r="K56" s="39">
        <f>SUM(K4:K55)</f>
        <v/>
      </c>
      <c r="L56" s="37" t="n"/>
    </row>
  </sheetData>
  <autoFilter ref="A3:L55"/>
  <hyperlinks>
    <hyperlink xmlns:r="http://schemas.openxmlformats.org/officeDocument/2006/relationships" ref="L4" r:id="rId1"/>
    <hyperlink xmlns:r="http://schemas.openxmlformats.org/officeDocument/2006/relationships" ref="L5" r:id="rId2"/>
    <hyperlink xmlns:r="http://schemas.openxmlformats.org/officeDocument/2006/relationships" ref="L6" r:id="rId3"/>
    <hyperlink xmlns:r="http://schemas.openxmlformats.org/officeDocument/2006/relationships" ref="L7" r:id="rId4"/>
    <hyperlink xmlns:r="http://schemas.openxmlformats.org/officeDocument/2006/relationships" ref="L8" r:id="rId5"/>
    <hyperlink xmlns:r="http://schemas.openxmlformats.org/officeDocument/2006/relationships" ref="L9" r:id="rId6"/>
    <hyperlink xmlns:r="http://schemas.openxmlformats.org/officeDocument/2006/relationships" ref="L10" r:id="rId7"/>
    <hyperlink xmlns:r="http://schemas.openxmlformats.org/officeDocument/2006/relationships" ref="L11" r:id="rId8"/>
    <hyperlink xmlns:r="http://schemas.openxmlformats.org/officeDocument/2006/relationships" ref="L12" r:id="rId9"/>
    <hyperlink xmlns:r="http://schemas.openxmlformats.org/officeDocument/2006/relationships" ref="L13" r:id="rId10"/>
    <hyperlink xmlns:r="http://schemas.openxmlformats.org/officeDocument/2006/relationships" ref="L14" r:id="rId11"/>
    <hyperlink xmlns:r="http://schemas.openxmlformats.org/officeDocument/2006/relationships" ref="L15" r:id="rId12"/>
    <hyperlink xmlns:r="http://schemas.openxmlformats.org/officeDocument/2006/relationships" ref="L16" r:id="rId13"/>
    <hyperlink xmlns:r="http://schemas.openxmlformats.org/officeDocument/2006/relationships" ref="L17" r:id="rId14"/>
    <hyperlink xmlns:r="http://schemas.openxmlformats.org/officeDocument/2006/relationships" ref="L18" r:id="rId15"/>
    <hyperlink xmlns:r="http://schemas.openxmlformats.org/officeDocument/2006/relationships" ref="L19" r:id="rId16"/>
    <hyperlink xmlns:r="http://schemas.openxmlformats.org/officeDocument/2006/relationships" ref="L20" r:id="rId17"/>
    <hyperlink xmlns:r="http://schemas.openxmlformats.org/officeDocument/2006/relationships" ref="L21" r:id="rId18"/>
    <hyperlink xmlns:r="http://schemas.openxmlformats.org/officeDocument/2006/relationships" ref="L22" r:id="rId19"/>
    <hyperlink xmlns:r="http://schemas.openxmlformats.org/officeDocument/2006/relationships" ref="L23" r:id="rId20"/>
    <hyperlink xmlns:r="http://schemas.openxmlformats.org/officeDocument/2006/relationships" ref="L24" r:id="rId21"/>
    <hyperlink xmlns:r="http://schemas.openxmlformats.org/officeDocument/2006/relationships" ref="L25" r:id="rId22"/>
    <hyperlink xmlns:r="http://schemas.openxmlformats.org/officeDocument/2006/relationships" ref="L26" r:id="rId23"/>
    <hyperlink xmlns:r="http://schemas.openxmlformats.org/officeDocument/2006/relationships" ref="L27" r:id="rId24"/>
    <hyperlink xmlns:r="http://schemas.openxmlformats.org/officeDocument/2006/relationships" ref="L28" r:id="rId25"/>
    <hyperlink xmlns:r="http://schemas.openxmlformats.org/officeDocument/2006/relationships" ref="L29" r:id="rId26"/>
    <hyperlink xmlns:r="http://schemas.openxmlformats.org/officeDocument/2006/relationships" ref="L30" r:id="rId27"/>
    <hyperlink xmlns:r="http://schemas.openxmlformats.org/officeDocument/2006/relationships" ref="L31" r:id="rId28"/>
    <hyperlink xmlns:r="http://schemas.openxmlformats.org/officeDocument/2006/relationships" ref="L32" r:id="rId29"/>
    <hyperlink xmlns:r="http://schemas.openxmlformats.org/officeDocument/2006/relationships" ref="L33" r:id="rId30"/>
    <hyperlink xmlns:r="http://schemas.openxmlformats.org/officeDocument/2006/relationships" ref="L34" r:id="rId31"/>
    <hyperlink xmlns:r="http://schemas.openxmlformats.org/officeDocument/2006/relationships" ref="L35" r:id="rId32"/>
    <hyperlink xmlns:r="http://schemas.openxmlformats.org/officeDocument/2006/relationships" ref="L36" r:id="rId33"/>
    <hyperlink xmlns:r="http://schemas.openxmlformats.org/officeDocument/2006/relationships" ref="L37" r:id="rId34"/>
    <hyperlink xmlns:r="http://schemas.openxmlformats.org/officeDocument/2006/relationships" ref="L38" r:id="rId35"/>
    <hyperlink xmlns:r="http://schemas.openxmlformats.org/officeDocument/2006/relationships" ref="L39" r:id="rId36"/>
    <hyperlink xmlns:r="http://schemas.openxmlformats.org/officeDocument/2006/relationships" ref="L40" r:id="rId37"/>
    <hyperlink xmlns:r="http://schemas.openxmlformats.org/officeDocument/2006/relationships" ref="L41" r:id="rId38"/>
    <hyperlink xmlns:r="http://schemas.openxmlformats.org/officeDocument/2006/relationships" ref="L42" r:id="rId39"/>
    <hyperlink xmlns:r="http://schemas.openxmlformats.org/officeDocument/2006/relationships" ref="L43" r:id="rId40"/>
    <hyperlink xmlns:r="http://schemas.openxmlformats.org/officeDocument/2006/relationships" ref="L44" r:id="rId41"/>
    <hyperlink xmlns:r="http://schemas.openxmlformats.org/officeDocument/2006/relationships" ref="L45" r:id="rId42"/>
    <hyperlink xmlns:r="http://schemas.openxmlformats.org/officeDocument/2006/relationships" ref="L46" r:id="rId43"/>
    <hyperlink xmlns:r="http://schemas.openxmlformats.org/officeDocument/2006/relationships" ref="L47" r:id="rId44"/>
    <hyperlink xmlns:r="http://schemas.openxmlformats.org/officeDocument/2006/relationships" ref="L48" r:id="rId45"/>
    <hyperlink xmlns:r="http://schemas.openxmlformats.org/officeDocument/2006/relationships" ref="L49" r:id="rId46"/>
    <hyperlink xmlns:r="http://schemas.openxmlformats.org/officeDocument/2006/relationships" ref="L50" r:id="rId47"/>
    <hyperlink xmlns:r="http://schemas.openxmlformats.org/officeDocument/2006/relationships" ref="L51" r:id="rId48"/>
    <hyperlink xmlns:r="http://schemas.openxmlformats.org/officeDocument/2006/relationships" ref="L52" r:id="rId49"/>
    <hyperlink xmlns:r="http://schemas.openxmlformats.org/officeDocument/2006/relationships" ref="L53" r:id="rId50"/>
    <hyperlink xmlns:r="http://schemas.openxmlformats.org/officeDocument/2006/relationships" ref="L54" r:id="rId51"/>
    <hyperlink xmlns:r="http://schemas.openxmlformats.org/officeDocument/2006/relationships" ref="L55" r:id="rId5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4" customWidth="1" min="3" max="3"/>
    <col width="24" customWidth="1" min="4" max="4"/>
    <col width="80" customWidth="1" min="5" max="5"/>
  </cols>
  <sheetData>
    <row r="1">
      <c r="A1" s="1" t="inlineStr">
        <is>
          <t>Propuestas de optimización de costos - Azure</t>
        </is>
      </c>
    </row>
    <row r="2">
      <c r="A2" s="2" t="inlineStr">
        <is>
          <t>Escenarios en pesos colombianos (COP) sobre el costo de pago por uso. Los descuentos de reserva provienen de los precios oficiales de Azure Reservations (East US 2).</t>
        </is>
      </c>
    </row>
    <row r="4" ht="32" customHeight="1">
      <c r="A4" s="3" t="inlineStr">
        <is>
          <t>Concepto</t>
        </is>
      </c>
      <c r="B4" s="3" t="inlineStr">
        <is>
          <t>Pago por uso (COP/mes)</t>
        </is>
      </c>
      <c r="C4" s="3" t="inlineStr">
        <is>
          <t>Reservas 1 año (COP/mes)</t>
        </is>
      </c>
      <c r="D4" s="3" t="inlineStr">
        <is>
          <t>Reservas 3 años (COP/mes)</t>
        </is>
      </c>
      <c r="E4" s="3" t="inlineStr">
        <is>
          <t>Medida aplicada</t>
        </is>
      </c>
    </row>
    <row r="5">
      <c r="A5" s="4" t="inlineStr">
        <is>
          <t>Nodos AKS (D4s v5)</t>
        </is>
      </c>
      <c r="B5" s="5">
        <f>(SUMIF(Azure!$B$4:$B$53,"AKS - nodos región primaria",Azure!$J$4:$J$53)+SUMIF(Azure!$B$4:$B$53,"AKS - nodos región secundaria",Azure!$J$4:$J$53))</f>
        <v/>
      </c>
      <c r="C5" s="5">
        <f>B5*1038/(0.192*8760)</f>
        <v/>
      </c>
      <c r="D5" s="5">
        <f>B5*1993/(0.192*8760*3)</f>
        <v/>
      </c>
      <c r="E5" s="40" t="inlineStr">
        <is>
          <t>Instancias reservadas por nodo: 1 año = USD 1.038, 3 años = USD 1.993 (vs USD 1.682 por año en pago por uso)</t>
        </is>
      </c>
    </row>
    <row r="6">
      <c r="A6" s="4" t="inlineStr">
        <is>
          <t>PostgreSQL (primario, standby y réplica)</t>
        </is>
      </c>
      <c r="B6" s="5">
        <f>(SUMIF(Azure!$B$4:$B$53,"PostgreSQL Flexible Server",Azure!$J$4:$J$53)-SUMIFS(Azure!$J$4:$J$53,Azure!$A$4:$A$53,"Ambiente Dev/Test",Azure!$B$4:$B$53,"PostgreSQL Flexible Server")+SUMIF(Azure!$B$4:$B$53,"PostgreSQL - réplica geográfica",Azure!$J$4:$J$53))</f>
        <v/>
      </c>
      <c r="C6" s="5">
        <f>B6*468/(0.089*8760)</f>
        <v/>
      </c>
      <c r="D6" s="5">
        <f>B6*936/(0.089*8760*3)</f>
        <v/>
      </c>
      <c r="E6" s="40" t="inlineStr">
        <is>
          <t>Capacidad reservada por vCore: 1 año = USD 468, 3 años = USD 936 (vs USD 780 por año en pago por uso)</t>
        </is>
      </c>
    </row>
    <row r="7">
      <c r="A7" s="4" t="inlineStr">
        <is>
          <t>Azure Cache for Redis</t>
        </is>
      </c>
      <c r="B7" s="5">
        <f>SUMIFS(Azure!$J$4:$J$53,Azure!$A$4:$A$53,"Almacenamiento y Bases de Datos",Azure!$B$4:$B$53,"Azure Cache for Redis")</f>
        <v/>
      </c>
      <c r="C7" s="5">
        <f>B7*(1-0.35)</f>
        <v/>
      </c>
      <c r="D7" s="5">
        <f>B7*(1-0.55)</f>
        <v/>
      </c>
      <c r="E7" s="40" t="inlineStr">
        <is>
          <t>Reserva de caché Premium (~35% a 1 año, ~55% a 3 años)</t>
        </is>
      </c>
    </row>
    <row r="8">
      <c r="A8" s="4" t="inlineStr">
        <is>
          <t>Log Analytics</t>
        </is>
      </c>
      <c r="B8" s="5">
        <f>SUMIFS(Azure!$J$4:$J$53,Azure!$A$4:$A$53,"Monitoreo y Logs",Azure!$B$4:$B$53,"Log Analytics + Application Insights")</f>
        <v/>
      </c>
      <c r="C8" s="5">
        <f>B8*(1-0.40)</f>
        <v/>
      </c>
      <c r="D8" s="5">
        <f>B8*(1-0.40)</f>
        <v/>
      </c>
      <c r="E8" s="40" t="inlineStr">
        <is>
          <t>Logs de depuración en el plan Basic Logs y muestreo en App Insights (~40%)</t>
        </is>
      </c>
    </row>
    <row r="9">
      <c r="A9" s="4" t="inlineStr">
        <is>
          <t>Ambiente Dev/Test</t>
        </is>
      </c>
      <c r="B9" s="5">
        <f>SUMIF(Azure!$A$4:$A$53,"Ambiente Dev/Test",Azure!$J$4:$J$53)</f>
        <v/>
      </c>
      <c r="C9" s="5">
        <f>B9*(1-0.55)</f>
        <v/>
      </c>
      <c r="D9" s="5">
        <f>B9*(1-0.55)</f>
        <v/>
      </c>
      <c r="E9" s="40" t="inlineStr">
        <is>
          <t>Apagado automático noches y fines de semana + precios Dev/Test</t>
        </is>
      </c>
    </row>
    <row r="10">
      <c r="A10" s="4" t="inlineStr">
        <is>
          <t>Resto de servicios (sin cambio)</t>
        </is>
      </c>
      <c r="B10" s="5">
        <f>Azure!$J$54-SUM(B5:B9)</f>
        <v/>
      </c>
      <c r="C10" s="5">
        <f>B10</f>
        <v/>
      </c>
      <c r="D10" s="5">
        <f>B10</f>
        <v/>
      </c>
      <c r="E10" s="40" t="inlineStr">
        <is>
          <t>Servicios de consumo: se optimizan con autoescalado y cuotas</t>
        </is>
      </c>
    </row>
    <row r="11">
      <c r="A11" t="inlineStr"/>
    </row>
    <row r="14">
      <c r="A14" s="7" t="inlineStr">
        <is>
          <t>TOTAL MENSUAL</t>
        </is>
      </c>
      <c r="B14" s="8">
        <f>SUM(B5:B10)</f>
        <v/>
      </c>
      <c r="C14" s="8">
        <f>SUM(C5:C10)</f>
        <v/>
      </c>
      <c r="D14" s="8">
        <f>SUM(D5:D10)</f>
        <v/>
      </c>
    </row>
    <row r="15">
      <c r="A15" s="7" t="inlineStr">
        <is>
          <t>TOTAL ANUAL</t>
        </is>
      </c>
      <c r="B15" s="8">
        <f>B14*12</f>
        <v/>
      </c>
      <c r="C15" s="8">
        <f>C14*12</f>
        <v/>
      </c>
      <c r="D15" s="8">
        <f>D14*12</f>
        <v/>
      </c>
    </row>
    <row r="16">
      <c r="A16" s="41" t="inlineStr">
        <is>
          <t>Ahorro frente a pago por uso</t>
        </is>
      </c>
      <c r="B16" s="42" t="n">
        <v>0</v>
      </c>
      <c r="C16" s="42">
        <f>1-C14/B14</f>
        <v/>
      </c>
      <c r="D16" s="42">
        <f>1-D14/B14</f>
        <v/>
      </c>
    </row>
    <row r="18">
      <c r="A18" s="10" t="inlineStr">
        <is>
          <t>Otras medidas recomendadas</t>
        </is>
      </c>
    </row>
    <row r="19">
      <c r="A19" t="inlineStr">
        <is>
          <t>• Autoescalado horizontal (HPA) y del clúster: 3 nodos en horario valle y hasta 12 en picos, se paga solo lo usado.</t>
        </is>
      </c>
    </row>
    <row r="20">
      <c r="A20" t="inlineStr">
        <is>
          <t>• Azure Savings Plan for Compute como alternativa flexible a las instancias reservadas (hasta ~65% a 3 años).</t>
        </is>
      </c>
    </row>
    <row r="21">
      <c r="A21" t="inlineStr">
        <is>
          <t>• Caché de respuestas frecuentes (historias consultadas en la misma llamada, centros por zona) para bajar peticiones FHIR, Maps y OpenAI.</t>
        </is>
      </c>
    </row>
    <row r="22">
      <c r="A22" t="inlineStr">
        <is>
          <t>• Políticas de ciclo de vida en Blob Storage: mover documentos de más de 90 días al nivel Cool y de más de 1 año a Archive.</t>
        </is>
      </c>
    </row>
    <row r="23">
      <c r="A23" t="inlineStr">
        <is>
          <t>• Presupuestos y alertas de Microsoft Cost Management por grupo de recursos y etiquetas por microservicio.</t>
        </is>
      </c>
    </row>
    <row r="24">
      <c r="A24" t="inlineStr">
        <is>
          <t>• Revisar cada trimestre el tamaño de nodos y de la base de datos con Azure Advisor.</t>
        </is>
      </c>
    </row>
    <row r="25">
      <c r="A25" t="inlineStr">
        <is>
          <t>• Si la compañía tiene contrato Enterprise Agreement con Microsoft, aplicar los descuentos negociados y Azure Hybrid Benefit.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16" customWidth="1" min="3" max="3"/>
    <col width="16" customWidth="1" min="4" max="4"/>
    <col width="16" customWidth="1" min="5" max="5"/>
    <col width="16" customWidth="1" min="6" max="6"/>
    <col width="70" customWidth="1" min="7" max="7"/>
  </cols>
  <sheetData>
    <row r="1">
      <c r="A1" s="1" t="inlineStr">
        <is>
          <t>Comparación de plataformas cloud - Matriz de decisión ponderada</t>
        </is>
      </c>
    </row>
    <row r="2">
      <c r="A2" s="2" t="inlineStr">
        <is>
          <t>Calificación de 1 (deficiente) a 5 (excelente). El puntaje ponderado define la plataforma elegida.</t>
        </is>
      </c>
    </row>
    <row r="4" ht="32" customHeight="1">
      <c r="A4" s="3" t="inlineStr">
        <is>
          <t>Criterio</t>
        </is>
      </c>
      <c r="B4" s="3" t="inlineStr">
        <is>
          <t>Peso</t>
        </is>
      </c>
      <c r="C4" s="3" t="inlineStr">
        <is>
          <t>Azure</t>
        </is>
      </c>
      <c r="D4" s="3" t="inlineStr">
        <is>
          <t>AWS</t>
        </is>
      </c>
      <c r="E4" s="3" t="inlineStr">
        <is>
          <t>Azure ponderado</t>
        </is>
      </c>
      <c r="F4" s="3" t="inlineStr">
        <is>
          <t>AWS ponderado</t>
        </is>
      </c>
      <c r="G4" s="3" t="inlineStr">
        <is>
          <t>Justificación</t>
        </is>
      </c>
    </row>
    <row r="5" ht="45" customHeight="1">
      <c r="A5" s="40" t="inlineStr">
        <is>
          <t>Costo total y opciones de ahorro</t>
        </is>
      </c>
      <c r="B5" s="43" t="n">
        <v>0.2</v>
      </c>
      <c r="C5" s="44" t="n">
        <v>3</v>
      </c>
      <c r="D5" s="44" t="n">
        <v>4</v>
      </c>
      <c r="E5" s="45">
        <f>B5*C5</f>
        <v/>
      </c>
      <c r="F5" s="45">
        <f>B5*D5</f>
        <v/>
      </c>
      <c r="G5" s="40" t="inlineStr">
        <is>
          <t>AWS es más barato en lista (API Gateway, mensajería y logs). Azure reduce la brecha con reservas y planes de ahorro.</t>
        </is>
      </c>
    </row>
    <row r="6" ht="45" customHeight="1">
      <c r="A6" s="40" t="inlineStr">
        <is>
          <t>Integración con el sistema de seguridad centralizado</t>
        </is>
      </c>
      <c r="B6" s="43" t="n">
        <v>0.2</v>
      </c>
      <c r="C6" s="44" t="n">
        <v>5</v>
      </c>
      <c r="D6" s="44" t="n">
        <v>4</v>
      </c>
      <c r="E6" s="45">
        <f>B6*C6</f>
        <v/>
      </c>
      <c r="F6" s="45">
        <f>B6*D6</f>
        <v/>
      </c>
      <c r="G6" s="40" t="inlineStr">
        <is>
          <t>Entra ID se federa de forma nativa vía OIDC/SAML con el directorio corporativo, Acceso Condicional y MFA. En AWS se requiere Cognito como intermediario.</t>
        </is>
      </c>
    </row>
    <row r="7" ht="45" customHeight="1">
      <c r="A7" s="40" t="inlineStr">
        <is>
          <t>Seguridad y cumplimiento normativo (salud)</t>
        </is>
      </c>
      <c r="B7" s="43" t="n">
        <v>0.2</v>
      </c>
      <c r="C7" s="44" t="n">
        <v>5</v>
      </c>
      <c r="D7" s="44" t="n">
        <v>5</v>
      </c>
      <c r="E7" s="45">
        <f>B7*C7</f>
        <v/>
      </c>
      <c r="F7" s="45">
        <f>B7*D7</f>
        <v/>
      </c>
      <c r="G7" s="40" t="inlineStr">
        <is>
          <t>Ambos firman BAA de HIPAA y tienen ISO 27001, SOC 2 y HITRUST. Azure suma Defender for Cloud y Purview para datos clínicos.</t>
        </is>
      </c>
    </row>
    <row r="8" ht="45" customHeight="1">
      <c r="A8" s="40" t="inlineStr">
        <is>
          <t>Servicios de salud e IA</t>
        </is>
      </c>
      <c r="B8" s="43" t="n">
        <v>0.15</v>
      </c>
      <c r="C8" s="44" t="n">
        <v>5</v>
      </c>
      <c r="D8" s="44" t="n">
        <v>4</v>
      </c>
      <c r="E8" s="45">
        <f>B8*C8</f>
        <v/>
      </c>
      <c r="F8" s="45">
        <f>B8*D8</f>
        <v/>
      </c>
      <c r="G8" s="40" t="inlineStr">
        <is>
          <t>Azure Health Data Services (FHIR) + Azure OpenAI con red privada. AWS ofrece HealthLake y Bedrock, con menos opciones de modelos en red privada regional.</t>
        </is>
      </c>
    </row>
    <row r="9" ht="45" customHeight="1">
      <c r="A9" s="40" t="inlineStr">
        <is>
          <t>Escalabilidad y alta disponibilidad</t>
        </is>
      </c>
      <c r="B9" s="43" t="n">
        <v>0.1</v>
      </c>
      <c r="C9" s="44" t="n">
        <v>5</v>
      </c>
      <c r="D9" s="44" t="n">
        <v>5</v>
      </c>
      <c r="E9" s="45">
        <f>B9*C9</f>
        <v/>
      </c>
      <c r="F9" s="45">
        <f>B9*D9</f>
        <v/>
      </c>
      <c r="G9" s="40" t="inlineStr">
        <is>
          <t>Zonas de disponibilidad, Kubernetes administrado y balanceo global en ambos.</t>
        </is>
      </c>
    </row>
    <row r="10" ht="45" customHeight="1">
      <c r="A10" s="40" t="inlineStr">
        <is>
          <t>Compatibilidad con las tecnologías elegidas</t>
        </is>
      </c>
      <c r="B10" s="43" t="n">
        <v>0.1</v>
      </c>
      <c r="C10" s="44" t="n">
        <v>5</v>
      </c>
      <c r="D10" s="44" t="n">
        <v>4</v>
      </c>
      <c r="E10" s="45">
        <f>B10*C10</f>
        <v/>
      </c>
      <c r="F10" s="45">
        <f>B10*D10</f>
        <v/>
      </c>
      <c r="G10" s="40" t="inlineStr">
        <is>
          <t>React, Electron, Node.js, Python y GitHub Actions tienen integración de primera clase con Azure (GitHub y Azure son de Microsoft).</t>
        </is>
      </c>
    </row>
    <row r="11" ht="45" customHeight="1">
      <c r="A11" s="40" t="inlineStr">
        <is>
          <t>Servicios adicionales y ecosistema</t>
        </is>
      </c>
      <c r="B11" s="43" t="n">
        <v>0.05</v>
      </c>
      <c r="C11" s="44" t="n">
        <v>5</v>
      </c>
      <c r="D11" s="44" t="n">
        <v>4</v>
      </c>
      <c r="E11" s="45">
        <f>B11*C11</f>
        <v/>
      </c>
      <c r="F11" s="45">
        <f>B11*D11</f>
        <v/>
      </c>
      <c r="G11" s="40" t="inlineStr">
        <is>
          <t>Integración con Microsoft 365 y Teams para la comunicación con centros médicos, Power BI para indicadores del call center.</t>
        </is>
      </c>
    </row>
    <row r="12">
      <c r="A12" s="7" t="inlineStr">
        <is>
          <t>PUNTAJE TOTAL</t>
        </is>
      </c>
      <c r="B12" s="46">
        <f>SUM(B5:B11)</f>
        <v/>
      </c>
      <c r="C12" s="7" t="n"/>
      <c r="D12" s="7" t="n"/>
      <c r="E12" s="47">
        <f>SUM(E5:E11)</f>
        <v/>
      </c>
      <c r="F12" s="47">
        <f>SUM(F5:F11)</f>
        <v/>
      </c>
      <c r="G12" s="7">
        <f>IF(E12&gt;F12,"Plataforma elegida: Microsoft Azure","Plataforma elegida: AWS")</f>
        <v/>
      </c>
    </row>
    <row r="15">
      <c r="A15" s="10" t="inlineStr">
        <is>
          <t>Equivalencia de servicios</t>
        </is>
      </c>
    </row>
    <row r="16" ht="32" customHeight="1">
      <c r="A16" s="3" t="inlineStr">
        <is>
          <t>Necesidad</t>
        </is>
      </c>
      <c r="B16" s="48" t="n"/>
      <c r="C16" s="3" t="inlineStr">
        <is>
          <t>Azure</t>
        </is>
      </c>
      <c r="D16" s="48" t="n"/>
      <c r="E16" s="3" t="inlineStr">
        <is>
          <t>AWS</t>
        </is>
      </c>
      <c r="F16" s="48" t="n"/>
      <c r="G16" s="3" t="inlineStr">
        <is>
          <t>Observación</t>
        </is>
      </c>
    </row>
    <row r="17">
      <c r="A17" s="4" t="inlineStr">
        <is>
          <t>Identidad federada OIDC</t>
        </is>
      </c>
      <c r="B17" s="48" t="n"/>
      <c r="C17" s="4" t="inlineStr">
        <is>
          <t>Microsoft Entra ID</t>
        </is>
      </c>
      <c r="D17" s="48" t="n"/>
      <c r="E17" s="4" t="inlineStr">
        <is>
          <t>Amazon Cognito</t>
        </is>
      </c>
      <c r="F17" s="48" t="n"/>
      <c r="G17" s="4" t="inlineStr">
        <is>
          <t>Entra ID se conecta directo al directorio corporativo</t>
        </is>
      </c>
    </row>
    <row r="18">
      <c r="A18" s="4" t="inlineStr">
        <is>
          <t>Entrada global, WAF y failover</t>
        </is>
      </c>
      <c r="B18" s="48" t="n"/>
      <c r="C18" s="4" t="inlineStr">
        <is>
          <t>Front Door Premium + WAF</t>
        </is>
      </c>
      <c r="D18" s="48" t="n"/>
      <c r="E18" s="4" t="inlineStr">
        <is>
          <t>CloudFront + WAF + Route 53</t>
        </is>
      </c>
      <c r="F18" s="48" t="n"/>
      <c r="G18" s="4" t="inlineStr">
        <is>
          <t>En Azure un solo servicio cubre CDN, WAF y failover</t>
        </is>
      </c>
    </row>
    <row r="19">
      <c r="A19" s="4" t="inlineStr">
        <is>
          <t>API Gateway</t>
        </is>
      </c>
      <c r="B19" s="48" t="n"/>
      <c r="C19" s="4" t="inlineStr">
        <is>
          <t>API Management Standard v2</t>
        </is>
      </c>
      <c r="D19" s="48" t="n"/>
      <c r="E19" s="4" t="inlineStr">
        <is>
          <t>API Gateway HTTP API</t>
        </is>
      </c>
      <c r="F19" s="48" t="n"/>
      <c r="G19" s="4" t="inlineStr">
        <is>
          <t>APIM incluye portal de desarrolladores y políticas</t>
        </is>
      </c>
    </row>
    <row r="20">
      <c r="A20" s="4" t="inlineStr">
        <is>
          <t>Kubernetes administrado</t>
        </is>
      </c>
      <c r="B20" s="48" t="n"/>
      <c r="C20" s="4" t="inlineStr">
        <is>
          <t>AKS</t>
        </is>
      </c>
      <c r="D20" s="48" t="n"/>
      <c r="E20" s="4" t="inlineStr">
        <is>
          <t>EKS</t>
        </is>
      </c>
      <c r="F20" s="48" t="n"/>
      <c r="G20" s="4" t="inlineStr">
        <is>
          <t>Mismo modelo de costo del plano de control</t>
        </is>
      </c>
    </row>
    <row r="21">
      <c r="A21" s="4" t="inlineStr">
        <is>
          <t>Base de datos relacional</t>
        </is>
      </c>
      <c r="B21" s="48" t="n"/>
      <c r="C21" s="4" t="inlineStr">
        <is>
          <t>PostgreSQL Flexible Server</t>
        </is>
      </c>
      <c r="D21" s="48" t="n"/>
      <c r="E21" s="4" t="inlineStr">
        <is>
          <t>RDS for PostgreSQL</t>
        </is>
      </c>
      <c r="F21" s="48" t="n"/>
      <c r="G21" s="4" t="inlineStr">
        <is>
          <t>Ambos con HA en zonas y réplicas entre regiones</t>
        </is>
      </c>
    </row>
    <row r="22">
      <c r="A22" s="4" t="inlineStr">
        <is>
          <t>Caché</t>
        </is>
      </c>
      <c r="B22" s="48" t="n"/>
      <c r="C22" s="4" t="inlineStr">
        <is>
          <t>Azure Cache for Redis</t>
        </is>
      </c>
      <c r="D22" s="48" t="n"/>
      <c r="E22" s="4" t="inlineStr">
        <is>
          <t>ElastiCache (Valkey)</t>
        </is>
      </c>
      <c r="F22" s="48" t="n"/>
      <c r="G22" s="4" t="inlineStr"/>
    </row>
    <row r="23">
      <c r="A23" s="4" t="inlineStr">
        <is>
          <t>Repositorio clínico FHIR</t>
        </is>
      </c>
      <c r="B23" s="48" t="n"/>
      <c r="C23" s="4" t="inlineStr">
        <is>
          <t>Azure Health Data Services</t>
        </is>
      </c>
      <c r="D23" s="48" t="n"/>
      <c r="E23" s="4" t="inlineStr">
        <is>
          <t>AWS HealthLake</t>
        </is>
      </c>
      <c r="F23" s="48" t="n"/>
      <c r="G23" s="4" t="inlineStr">
        <is>
          <t>Azure cobra por uso; HealthLake cobra por hora del almacén</t>
        </is>
      </c>
    </row>
    <row r="24">
      <c r="A24" s="4" t="inlineStr">
        <is>
          <t>Apoyo al diagnóstico</t>
        </is>
      </c>
      <c r="B24" s="48" t="n"/>
      <c r="C24" s="4" t="inlineStr">
        <is>
          <t>Azure OpenAI (gpt-4.1-mini)</t>
        </is>
      </c>
      <c r="D24" s="48" t="n"/>
      <c r="E24" s="4" t="inlineStr">
        <is>
          <t>Amazon Bedrock (Nova Pro)</t>
        </is>
      </c>
      <c r="F24" s="48" t="n"/>
      <c r="G24" s="4" t="inlineStr">
        <is>
          <t>Ambos sin entrenar con datos del cliente</t>
        </is>
      </c>
    </row>
    <row r="25">
      <c r="A25" s="4" t="inlineStr">
        <is>
          <t>Mapas y rutas</t>
        </is>
      </c>
      <c r="B25" s="48" t="n"/>
      <c r="C25" s="4" t="inlineStr">
        <is>
          <t>Azure Maps</t>
        </is>
      </c>
      <c r="D25" s="48" t="n"/>
      <c r="E25" s="4" t="inlineStr">
        <is>
          <t>Amazon Location Service</t>
        </is>
      </c>
      <c r="F25" s="48" t="n"/>
      <c r="G25" s="4" t="inlineStr">
        <is>
          <t>AWS es más barato por transacción</t>
        </is>
      </c>
    </row>
    <row r="26">
      <c r="A26" s="4" t="inlineStr">
        <is>
          <t>Notificaciones</t>
        </is>
      </c>
      <c r="B26" s="48" t="n"/>
      <c r="C26" s="4" t="inlineStr">
        <is>
          <t>Communication Services</t>
        </is>
      </c>
      <c r="D26" s="48" t="n"/>
      <c r="E26" s="4" t="inlineStr">
        <is>
          <t>End User Messaging + Connect + SES</t>
        </is>
      </c>
      <c r="F26" s="48" t="n"/>
      <c r="G26" s="4" t="inlineStr">
        <is>
          <t>Azure unifica voz, SMS y correo en un servicio</t>
        </is>
      </c>
    </row>
    <row r="27">
      <c r="A27" s="4" t="inlineStr">
        <is>
          <t>Mensajería</t>
        </is>
      </c>
      <c r="B27" s="48" t="n"/>
      <c r="C27" s="4" t="inlineStr">
        <is>
          <t>Service Bus Premium</t>
        </is>
      </c>
      <c r="D27" s="48" t="n"/>
      <c r="E27" s="4" t="inlineStr">
        <is>
          <t>SQS + SNS</t>
        </is>
      </c>
      <c r="F27" s="48" t="n"/>
      <c r="G27" s="4" t="inlineStr">
        <is>
          <t>Service Bus Premium da red privada y aislamiento</t>
        </is>
      </c>
    </row>
    <row r="28">
      <c r="A28" s="4" t="inlineStr">
        <is>
          <t>Monitoreo</t>
        </is>
      </c>
      <c r="B28" s="48" t="n"/>
      <c r="C28" s="4" t="inlineStr">
        <is>
          <t>Azure Monitor + Grafana</t>
        </is>
      </c>
      <c r="D28" s="48" t="n"/>
      <c r="E28" s="4" t="inlineStr">
        <is>
          <t>CloudWatch + Managed Grafana</t>
        </is>
      </c>
      <c r="F28" s="48" t="n"/>
      <c r="G28" s="4" t="inlineStr"/>
    </row>
  </sheetData>
  <mergeCells count="39">
    <mergeCell ref="A24:B24"/>
    <mergeCell ref="C24:D24"/>
    <mergeCell ref="E24:F24"/>
    <mergeCell ref="E23:F23"/>
    <mergeCell ref="E17:F17"/>
    <mergeCell ref="C26:D26"/>
    <mergeCell ref="C20:D20"/>
    <mergeCell ref="E20:F20"/>
    <mergeCell ref="A16:B16"/>
    <mergeCell ref="C16:D16"/>
    <mergeCell ref="A25:B25"/>
    <mergeCell ref="C25:D25"/>
    <mergeCell ref="E19:F19"/>
    <mergeCell ref="E28:F28"/>
    <mergeCell ref="C22:D22"/>
    <mergeCell ref="A18:B18"/>
    <mergeCell ref="A27:B27"/>
    <mergeCell ref="A26:B26"/>
    <mergeCell ref="A21:B21"/>
    <mergeCell ref="C21:D21"/>
    <mergeCell ref="C27:D27"/>
    <mergeCell ref="E27:F27"/>
    <mergeCell ref="A23:B23"/>
    <mergeCell ref="A17:B17"/>
    <mergeCell ref="E26:F26"/>
    <mergeCell ref="C17:D17"/>
    <mergeCell ref="C23:D23"/>
    <mergeCell ref="A22:B22"/>
    <mergeCell ref="A20:B20"/>
    <mergeCell ref="E16:F16"/>
    <mergeCell ref="E25:F25"/>
    <mergeCell ref="A19:B19"/>
    <mergeCell ref="C19:D19"/>
    <mergeCell ref="A28:B28"/>
    <mergeCell ref="C28:D28"/>
    <mergeCell ref="E22:F22"/>
    <mergeCell ref="C18:D18"/>
    <mergeCell ref="E18:F18"/>
    <mergeCell ref="E21:F2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3"/>
  <sheetViews>
    <sheetView showGridLines="0" workbookViewId="0">
      <selection activeCell="A1" sqref="A1"/>
    </sheetView>
  </sheetViews>
  <sheetFormatPr baseColWidth="8" defaultRowHeight="15"/>
  <cols>
    <col width="50" customWidth="1" min="1" max="1"/>
    <col width="100" customWidth="1" min="2" max="2"/>
  </cols>
  <sheetData>
    <row r="1">
      <c r="A1" s="1" t="inlineStr">
        <is>
          <t>Referencias de precios</t>
        </is>
      </c>
    </row>
    <row r="2">
      <c r="A2" s="2" t="inlineStr">
        <is>
          <t>Fuentes oficiales consultadas en Octubre 2026. Los precios están sujetos a cambios por parte de cada proveedor.</t>
        </is>
      </c>
    </row>
    <row r="3" ht="32" customHeight="1">
      <c r="A3" s="3" t="inlineStr">
        <is>
          <t>Fuente</t>
        </is>
      </c>
      <c r="B3" s="3" t="inlineStr">
        <is>
          <t>Enlace</t>
        </is>
      </c>
    </row>
    <row r="4">
      <c r="A4" s="4" t="inlineStr">
        <is>
          <t>Calculadora de precios de Azure</t>
        </is>
      </c>
      <c r="B4" s="49" t="inlineStr">
        <is>
          <t>https://azure.microsoft.com/es-es/pricing/calculator/</t>
        </is>
      </c>
    </row>
    <row r="5">
      <c r="A5" s="4" t="inlineStr">
        <is>
          <t>API oficial de precios minoristas de Azure</t>
        </is>
      </c>
      <c r="B5" s="49" t="inlineStr">
        <is>
          <t>https://prices.azure.com/api/retail/prices</t>
        </is>
      </c>
    </row>
    <row r="6">
      <c r="A6" s="4" t="inlineStr">
        <is>
          <t>Azure Reservations (descuentos por reserva)</t>
        </is>
      </c>
      <c r="B6" s="49" t="inlineStr">
        <is>
          <t>https://learn.microsoft.com/azure/cost-management-billing/reservations/save-compute-costs-reservations</t>
        </is>
      </c>
    </row>
    <row r="7">
      <c r="A7" s="4" t="inlineStr">
        <is>
          <t>Azure Savings Plan for Compute</t>
        </is>
      </c>
      <c r="B7" s="49" t="inlineStr">
        <is>
          <t>https://azure.microsoft.com/es-es/pricing/offers/savings-plan-compute/</t>
        </is>
      </c>
    </row>
    <row r="8">
      <c r="A8" s="4" t="inlineStr">
        <is>
          <t>Calculadora de precios de AWS</t>
        </is>
      </c>
      <c r="B8" s="49" t="inlineStr">
        <is>
          <t>https://calculator.aws/</t>
        </is>
      </c>
    </row>
    <row r="9">
      <c r="A9" s="4" t="inlineStr">
        <is>
          <t>AWS Price List (archivos oficiales de precios)</t>
        </is>
      </c>
      <c r="B9" s="49" t="inlineStr">
        <is>
          <t>https://pricing.us-east-1.amazonaws.com/offers/v1.0/aws/index.json</t>
        </is>
      </c>
    </row>
    <row r="10">
      <c r="A10" s="4" t="inlineStr">
        <is>
          <t>AWS Savings Plans</t>
        </is>
      </c>
      <c r="B10" s="49" t="inlineStr">
        <is>
          <t>https://aws.amazon.com/savingsplans/compute-pricing/</t>
        </is>
      </c>
    </row>
    <row r="11">
      <c r="A11" s="4" t="inlineStr">
        <is>
          <t>Calculadora de precios de Google Cloud</t>
        </is>
      </c>
      <c r="B11" s="49" t="inlineStr">
        <is>
          <t>https://cloud.google.com/products/calculator</t>
        </is>
      </c>
    </row>
    <row r="12">
      <c r="A12" s="4" t="inlineStr">
        <is>
          <t>Cumplimiento HIPAA en Azure</t>
        </is>
      </c>
      <c r="B12" s="49" t="inlineStr">
        <is>
          <t>https://learn.microsoft.com/azure/compliance/offerings/offering-hipaa-us</t>
        </is>
      </c>
    </row>
    <row r="13">
      <c r="A13" s="4" t="inlineStr">
        <is>
          <t>Cumplimiento HIPAA en AWS</t>
        </is>
      </c>
      <c r="B13" s="49" t="inlineStr">
        <is>
          <t>https://aws.amazon.com/compliance/hipaa-compliance/</t>
        </is>
      </c>
    </row>
    <row r="15">
      <c r="A15" s="50" t="inlineStr">
        <is>
          <t>Páginas de precios por servicio</t>
        </is>
      </c>
    </row>
    <row r="16">
      <c r="A16" s="4" t="inlineStr">
        <is>
          <t>Azure - Azure Kubernetes Service</t>
        </is>
      </c>
      <c r="B16" s="49" t="inlineStr">
        <is>
          <t>https://azure.microsoft.com/es-es/pricing/details/kubernetes-service/</t>
        </is>
      </c>
    </row>
    <row r="17">
      <c r="A17" s="4" t="inlineStr">
        <is>
          <t>Azure - AKS - nodos región primaria</t>
        </is>
      </c>
      <c r="B17" s="49" t="inlineStr">
        <is>
          <t>https://azure.microsoft.com/es-es/pricing/details/virtual-machines/linux/</t>
        </is>
      </c>
    </row>
    <row r="18">
      <c r="A18" s="4" t="inlineStr">
        <is>
          <t>Azure - Discos de SO de los nodos</t>
        </is>
      </c>
      <c r="B18" s="49" t="inlineStr">
        <is>
          <t>https://azure.microsoft.com/es-es/pricing/details/managed-disks/</t>
        </is>
      </c>
    </row>
    <row r="19">
      <c r="A19" s="4" t="inlineStr">
        <is>
          <t>Azure - Azure Container Registry</t>
        </is>
      </c>
      <c r="B19" s="49" t="inlineStr">
        <is>
          <t>https://azure.microsoft.com/es-es/pricing/details/container-registry/</t>
        </is>
      </c>
    </row>
    <row r="20">
      <c r="A20" s="4" t="inlineStr">
        <is>
          <t>Azure - PostgreSQL Flexible Server</t>
        </is>
      </c>
      <c r="B20" s="49" t="inlineStr">
        <is>
          <t>https://azure.microsoft.com/es-es/pricing/details/postgresql/flexible-server/</t>
        </is>
      </c>
    </row>
    <row r="21">
      <c r="A21" s="4" t="inlineStr">
        <is>
          <t>Azure - PostgreSQL - réplica geográfica</t>
        </is>
      </c>
      <c r="B21" s="49" t="inlineStr">
        <is>
          <t>https://learn.microsoft.com/azure/postgresql/flexible-server/concepts-read-replicas</t>
        </is>
      </c>
    </row>
    <row r="22">
      <c r="A22" s="4" t="inlineStr">
        <is>
          <t>Azure - Azure Cache for Redis</t>
        </is>
      </c>
      <c r="B22" s="49" t="inlineStr">
        <is>
          <t>https://azure.microsoft.com/es-es/pricing/details/cache/</t>
        </is>
      </c>
    </row>
    <row r="23">
      <c r="A23" s="4" t="inlineStr">
        <is>
          <t>Azure - Blob Storage</t>
        </is>
      </c>
      <c r="B23" s="49" t="inlineStr">
        <is>
          <t>https://azure.microsoft.com/es-es/pricing/details/storage/blobs/</t>
        </is>
      </c>
    </row>
    <row r="24">
      <c r="A24" s="4" t="inlineStr">
        <is>
          <t>Azure - Health Data Services - FHIR</t>
        </is>
      </c>
      <c r="B24" s="49" t="inlineStr">
        <is>
          <t>https://azure.microsoft.com/es-es/pricing/details/health-data-services/</t>
        </is>
      </c>
    </row>
    <row r="25">
      <c r="A25" s="4" t="inlineStr">
        <is>
          <t>Azure - Azure Front Door</t>
        </is>
      </c>
      <c r="B25" s="49" t="inlineStr">
        <is>
          <t>https://azure.microsoft.com/es-es/pricing/details/frontdoor/</t>
        </is>
      </c>
    </row>
    <row r="26">
      <c r="A26" s="4" t="inlineStr">
        <is>
          <t>Azure - API Management</t>
        </is>
      </c>
      <c r="B26" s="49" t="inlineStr">
        <is>
          <t>https://azure.microsoft.com/es-es/pricing/details/api-management/</t>
        </is>
      </c>
    </row>
    <row r="27">
      <c r="A27" s="4" t="inlineStr">
        <is>
          <t>Azure - Private Endpoints</t>
        </is>
      </c>
      <c r="B27" s="49" t="inlineStr">
        <is>
          <t>https://azure.microsoft.com/es-es/pricing/details/private-link/</t>
        </is>
      </c>
    </row>
    <row r="28">
      <c r="A28" s="4" t="inlineStr">
        <is>
          <t>Azure - Transferencia entre regiones</t>
        </is>
      </c>
      <c r="B28" s="49" t="inlineStr">
        <is>
          <t>https://azure.microsoft.com/es-es/pricing/details/bandwidth/</t>
        </is>
      </c>
    </row>
    <row r="29">
      <c r="A29" s="4" t="inlineStr">
        <is>
          <t>Azure - Azure DNS</t>
        </is>
      </c>
      <c r="B29" s="49" t="inlineStr">
        <is>
          <t>https://azure.microsoft.com/es-es/pricing/details/dns/</t>
        </is>
      </c>
    </row>
    <row r="30">
      <c r="A30" s="4" t="inlineStr">
        <is>
          <t>Azure - Microsoft Entra ID</t>
        </is>
      </c>
      <c r="B30" s="49" t="inlineStr">
        <is>
          <t>https://www.microsoft.com/es-es/security/business/microsoft-entra-pricing</t>
        </is>
      </c>
    </row>
    <row r="31">
      <c r="A31" s="4" t="inlineStr">
        <is>
          <t>Azure - Azure Key Vault</t>
        </is>
      </c>
      <c r="B31" s="49" t="inlineStr">
        <is>
          <t>https://azure.microsoft.com/es-es/pricing/details/key-vault/</t>
        </is>
      </c>
    </row>
    <row r="32">
      <c r="A32" s="4" t="inlineStr">
        <is>
          <t>Azure - Defender for Containers</t>
        </is>
      </c>
      <c r="B32" s="49" t="inlineStr">
        <is>
          <t>https://azure.microsoft.com/es-es/pricing/details/defender-for-cloud/</t>
        </is>
      </c>
    </row>
    <row r="33">
      <c r="A33" s="4" t="inlineStr">
        <is>
          <t>Azure - Certificados TLS</t>
        </is>
      </c>
      <c r="B33" s="49" t="inlineStr">
        <is>
          <t>https://learn.microsoft.com/azure/frontdoor/domain</t>
        </is>
      </c>
    </row>
    <row r="34">
      <c r="A34" s="4" t="inlineStr">
        <is>
          <t>Azure - Log Analytics + Application Insights</t>
        </is>
      </c>
      <c r="B34" s="49" t="inlineStr">
        <is>
          <t>https://azure.microsoft.com/es-es/pricing/details/monitor/</t>
        </is>
      </c>
    </row>
    <row r="35">
      <c r="A35" s="4" t="inlineStr">
        <is>
          <t>Azure - Azure Managed Grafana</t>
        </is>
      </c>
      <c r="B35" s="49" t="inlineStr">
        <is>
          <t>https://azure.microsoft.com/es-es/pricing/details/managed-grafana/</t>
        </is>
      </c>
    </row>
    <row r="36">
      <c r="A36" s="4" t="inlineStr">
        <is>
          <t>Azure - Azure Service Bus</t>
        </is>
      </c>
      <c r="B36" s="49" t="inlineStr">
        <is>
          <t>https://azure.microsoft.com/es-es/pricing/details/service-bus/</t>
        </is>
      </c>
    </row>
    <row r="37">
      <c r="A37" s="4" t="inlineStr">
        <is>
          <t>Azure - Azure OpenAI</t>
        </is>
      </c>
      <c r="B37" s="49" t="inlineStr">
        <is>
          <t>https://azure.microsoft.com/es-es/pricing/details/cognitive-services/openai-service/</t>
        </is>
      </c>
    </row>
    <row r="38">
      <c r="A38" s="4" t="inlineStr">
        <is>
          <t>Azure - Azure Maps</t>
        </is>
      </c>
      <c r="B38" s="49" t="inlineStr">
        <is>
          <t>https://azure.microsoft.com/es-es/pricing/details/azure-maps/</t>
        </is>
      </c>
    </row>
    <row r="39">
      <c r="A39" s="4" t="inlineStr">
        <is>
          <t>Azure - Communication Services</t>
        </is>
      </c>
      <c r="B39" s="49" t="inlineStr">
        <is>
          <t>https://learn.microsoft.com/azure/communication-services/concepts/sms-pricing</t>
        </is>
      </c>
    </row>
    <row r="40">
      <c r="A40" s="4" t="inlineStr">
        <is>
          <t>Azure - Communication Services</t>
        </is>
      </c>
      <c r="B40" s="49" t="inlineStr">
        <is>
          <t>https://learn.microsoft.com/azure/communication-services/concepts/pricing</t>
        </is>
      </c>
    </row>
    <row r="41">
      <c r="A41" s="4" t="inlineStr">
        <is>
          <t>Azure - Communication Services</t>
        </is>
      </c>
      <c r="B41" s="49" t="inlineStr">
        <is>
          <t>https://azure.microsoft.com/es-es/pricing/details/communication-services/</t>
        </is>
      </c>
    </row>
    <row r="42">
      <c r="A42" s="4" t="inlineStr">
        <is>
          <t>Azure - Communication Services</t>
        </is>
      </c>
      <c r="B42" s="49" t="inlineStr">
        <is>
          <t>https://learn.microsoft.com/azure/communication-services/concepts/numbers/number-types</t>
        </is>
      </c>
    </row>
    <row r="43">
      <c r="A43" s="4" t="inlineStr">
        <is>
          <t>AWS - Amazon EKS</t>
        </is>
      </c>
      <c r="B43" s="49" t="inlineStr">
        <is>
          <t>https://aws.amazon.com/eks/pricing/</t>
        </is>
      </c>
    </row>
    <row r="44">
      <c r="A44" s="4" t="inlineStr">
        <is>
          <t>AWS - EKS - nodos región primaria</t>
        </is>
      </c>
      <c r="B44" s="49" t="inlineStr">
        <is>
          <t>https://aws.amazon.com/ec2/pricing/on-demand/</t>
        </is>
      </c>
    </row>
    <row r="45">
      <c r="A45" s="4" t="inlineStr">
        <is>
          <t>AWS - EBS de los nodos</t>
        </is>
      </c>
      <c r="B45" s="49" t="inlineStr">
        <is>
          <t>https://aws.amazon.com/ebs/pricing/</t>
        </is>
      </c>
    </row>
    <row r="46">
      <c r="A46" s="4" t="inlineStr">
        <is>
          <t>AWS - Amazon ECR</t>
        </is>
      </c>
      <c r="B46" s="49" t="inlineStr">
        <is>
          <t>https://aws.amazon.com/ecr/pricing/</t>
        </is>
      </c>
    </row>
    <row r="47">
      <c r="A47" s="4" t="inlineStr">
        <is>
          <t>AWS - RDS for PostgreSQL</t>
        </is>
      </c>
      <c r="B47" s="49" t="inlineStr">
        <is>
          <t>https://aws.amazon.com/rds/postgresql/pricing/</t>
        </is>
      </c>
    </row>
    <row r="48">
      <c r="A48" s="4" t="inlineStr">
        <is>
          <t>AWS - ElastiCache</t>
        </is>
      </c>
      <c r="B48" s="49" t="inlineStr">
        <is>
          <t>https://aws.amazon.com/elasticache/pricing/</t>
        </is>
      </c>
    </row>
    <row r="49">
      <c r="A49" s="4" t="inlineStr">
        <is>
          <t>AWS - Amazon S3</t>
        </is>
      </c>
      <c r="B49" s="49" t="inlineStr">
        <is>
          <t>https://aws.amazon.com/s3/pricing/</t>
        </is>
      </c>
    </row>
    <row r="50">
      <c r="A50" s="4" t="inlineStr">
        <is>
          <t>AWS - AWS HealthLake</t>
        </is>
      </c>
      <c r="B50" s="49" t="inlineStr">
        <is>
          <t>https://aws.amazon.com/healthlake/pricing/</t>
        </is>
      </c>
    </row>
    <row r="51">
      <c r="A51" s="4" t="inlineStr">
        <is>
          <t>AWS - Amazon CloudFront</t>
        </is>
      </c>
      <c r="B51" s="49" t="inlineStr">
        <is>
          <t>https://aws.amazon.com/cloudfront/pricing/</t>
        </is>
      </c>
    </row>
    <row r="52">
      <c r="A52" s="4" t="inlineStr">
        <is>
          <t>AWS - Amazon API Gateway</t>
        </is>
      </c>
      <c r="B52" s="49" t="inlineStr">
        <is>
          <t>https://aws.amazon.com/api-gateway/pricing/</t>
        </is>
      </c>
    </row>
    <row r="53">
      <c r="A53" s="4" t="inlineStr">
        <is>
          <t>AWS - Application Load Balancer</t>
        </is>
      </c>
      <c r="B53" s="49" t="inlineStr">
        <is>
          <t>https://aws.amazon.com/elasticloadbalancing/pricing/</t>
        </is>
      </c>
    </row>
    <row r="54">
      <c r="A54" s="4" t="inlineStr">
        <is>
          <t>AWS - NAT Gateway</t>
        </is>
      </c>
      <c r="B54" s="49" t="inlineStr">
        <is>
          <t>https://aws.amazon.com/vpc/pricing/</t>
        </is>
      </c>
    </row>
    <row r="55">
      <c r="A55" s="4" t="inlineStr">
        <is>
          <t>AWS - VPC Interface Endpoints (PrivateLink)</t>
        </is>
      </c>
      <c r="B55" s="49" t="inlineStr">
        <is>
          <t>https://aws.amazon.com/privatelink/pricing/</t>
        </is>
      </c>
    </row>
    <row r="56">
      <c r="A56" s="4" t="inlineStr">
        <is>
          <t>AWS - Transferencia entre regiones</t>
        </is>
      </c>
      <c r="B56" s="49" t="inlineStr">
        <is>
          <t>https://aws.amazon.com/ec2/pricing/on-demand/#Data_Transfer</t>
        </is>
      </c>
    </row>
    <row r="57">
      <c r="A57" s="4" t="inlineStr">
        <is>
          <t>AWS - Amazon Route 53</t>
        </is>
      </c>
      <c r="B57" s="49" t="inlineStr">
        <is>
          <t>https://aws.amazon.com/route53/pricing/</t>
        </is>
      </c>
    </row>
    <row r="58">
      <c r="A58" s="4" t="inlineStr">
        <is>
          <t>AWS - Amazon Cognito</t>
        </is>
      </c>
      <c r="B58" s="49" t="inlineStr">
        <is>
          <t>https://aws.amazon.com/cognito/pricing/</t>
        </is>
      </c>
    </row>
    <row r="59">
      <c r="A59" s="4" t="inlineStr">
        <is>
          <t>AWS - AWS WAF</t>
        </is>
      </c>
      <c r="B59" s="49" t="inlineStr">
        <is>
          <t>https://aws.amazon.com/waf/pricing/</t>
        </is>
      </c>
    </row>
    <row r="60">
      <c r="A60" s="4" t="inlineStr">
        <is>
          <t>AWS - AWS Secrets Manager + KMS</t>
        </is>
      </c>
      <c r="B60" s="49" t="inlineStr">
        <is>
          <t>https://aws.amazon.com/secrets-manager/pricing/</t>
        </is>
      </c>
    </row>
    <row r="61">
      <c r="A61" s="4" t="inlineStr">
        <is>
          <t>AWS - Amazon GuardDuty</t>
        </is>
      </c>
      <c r="B61" s="49" t="inlineStr">
        <is>
          <t>https://aws.amazon.com/guardduty/pricing/</t>
        </is>
      </c>
    </row>
    <row r="62">
      <c r="A62" s="4" t="inlineStr">
        <is>
          <t>AWS - AWS Security Hub</t>
        </is>
      </c>
      <c r="B62" s="49" t="inlineStr">
        <is>
          <t>https://aws.amazon.com/security-hub/pricing/</t>
        </is>
      </c>
    </row>
    <row r="63">
      <c r="A63" s="4" t="inlineStr">
        <is>
          <t>AWS - AWS Certificate Manager</t>
        </is>
      </c>
      <c r="B63" s="49" t="inlineStr">
        <is>
          <t>https://aws.amazon.com/certificate-manager/pricing/</t>
        </is>
      </c>
    </row>
    <row r="64">
      <c r="A64" s="4" t="inlineStr">
        <is>
          <t>AWS - CloudWatch Logs</t>
        </is>
      </c>
      <c r="B64" s="49" t="inlineStr">
        <is>
          <t>https://aws.amazon.com/cloudwatch/pricing/</t>
        </is>
      </c>
    </row>
    <row r="65">
      <c r="A65" s="4" t="inlineStr">
        <is>
          <t>AWS - Amazon Managed Service for Prometheus</t>
        </is>
      </c>
      <c r="B65" s="49" t="inlineStr">
        <is>
          <t>https://aws.amazon.com/prometheus/pricing/</t>
        </is>
      </c>
    </row>
    <row r="66">
      <c r="A66" s="4" t="inlineStr">
        <is>
          <t>AWS - Amazon Managed Grafana</t>
        </is>
      </c>
      <c r="B66" s="49" t="inlineStr">
        <is>
          <t>https://aws.amazon.com/grafana/pricing/</t>
        </is>
      </c>
    </row>
    <row r="67">
      <c r="A67" s="4" t="inlineStr">
        <is>
          <t>AWS - AWS X-Ray</t>
        </is>
      </c>
      <c r="B67" s="49" t="inlineStr">
        <is>
          <t>https://aws.amazon.com/xray/pricing/</t>
        </is>
      </c>
    </row>
    <row r="68">
      <c r="A68" s="4" t="inlineStr">
        <is>
          <t>AWS - Amazon SQS + SNS</t>
        </is>
      </c>
      <c r="B68" s="49" t="inlineStr">
        <is>
          <t>https://aws.amazon.com/sqs/pricing/</t>
        </is>
      </c>
    </row>
    <row r="69">
      <c r="A69" s="4" t="inlineStr">
        <is>
          <t>AWS - Amazon Bedrock</t>
        </is>
      </c>
      <c r="B69" s="49" t="inlineStr">
        <is>
          <t>https://aws.amazon.com/bedrock/pricing/</t>
        </is>
      </c>
    </row>
    <row r="70">
      <c r="A70" s="4" t="inlineStr">
        <is>
          <t>AWS - Amazon Location Service</t>
        </is>
      </c>
      <c r="B70" s="49" t="inlineStr">
        <is>
          <t>https://aws.amazon.com/location/pricing/</t>
        </is>
      </c>
    </row>
    <row r="71">
      <c r="A71" s="4" t="inlineStr">
        <is>
          <t>AWS - AWS End User Messaging SMS</t>
        </is>
      </c>
      <c r="B71" s="49" t="inlineStr">
        <is>
          <t>https://aws.amazon.com/end-user-messaging/pricing/</t>
        </is>
      </c>
    </row>
    <row r="72">
      <c r="A72" s="4" t="inlineStr">
        <is>
          <t>AWS - Amazon Connect</t>
        </is>
      </c>
      <c r="B72" s="49" t="inlineStr">
        <is>
          <t>https://aws.amazon.com/connect/pricing/</t>
        </is>
      </c>
    </row>
    <row r="73">
      <c r="A73" s="4" t="inlineStr">
        <is>
          <t>AWS - Amazon SES</t>
        </is>
      </c>
      <c r="B73" s="49" t="inlineStr">
        <is>
          <t>https://aws.amazon.com/ses/pricing/</t>
        </is>
      </c>
    </row>
  </sheetData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6" r:id="rId11"/>
    <hyperlink xmlns:r="http://schemas.openxmlformats.org/officeDocument/2006/relationships" ref="B17" r:id="rId12"/>
    <hyperlink xmlns:r="http://schemas.openxmlformats.org/officeDocument/2006/relationships" ref="B18" r:id="rId13"/>
    <hyperlink xmlns:r="http://schemas.openxmlformats.org/officeDocument/2006/relationships" ref="B19" r:id="rId14"/>
    <hyperlink xmlns:r="http://schemas.openxmlformats.org/officeDocument/2006/relationships" ref="B20" r:id="rId15"/>
    <hyperlink xmlns:r="http://schemas.openxmlformats.org/officeDocument/2006/relationships" ref="B21" r:id="rId16"/>
    <hyperlink xmlns:r="http://schemas.openxmlformats.org/officeDocument/2006/relationships" ref="B22" r:id="rId17"/>
    <hyperlink xmlns:r="http://schemas.openxmlformats.org/officeDocument/2006/relationships" ref="B23" r:id="rId18"/>
    <hyperlink xmlns:r="http://schemas.openxmlformats.org/officeDocument/2006/relationships" ref="B24" r:id="rId19"/>
    <hyperlink xmlns:r="http://schemas.openxmlformats.org/officeDocument/2006/relationships" ref="B25" r:id="rId20"/>
    <hyperlink xmlns:r="http://schemas.openxmlformats.org/officeDocument/2006/relationships" ref="B26" r:id="rId21"/>
    <hyperlink xmlns:r="http://schemas.openxmlformats.org/officeDocument/2006/relationships" ref="B27" r:id="rId22"/>
    <hyperlink xmlns:r="http://schemas.openxmlformats.org/officeDocument/2006/relationships" ref="B28" r:id="rId23"/>
    <hyperlink xmlns:r="http://schemas.openxmlformats.org/officeDocument/2006/relationships" ref="B29" r:id="rId24"/>
    <hyperlink xmlns:r="http://schemas.openxmlformats.org/officeDocument/2006/relationships" ref="B30" r:id="rId25"/>
    <hyperlink xmlns:r="http://schemas.openxmlformats.org/officeDocument/2006/relationships" ref="B31" r:id="rId26"/>
    <hyperlink xmlns:r="http://schemas.openxmlformats.org/officeDocument/2006/relationships" ref="B32" r:id="rId27"/>
    <hyperlink xmlns:r="http://schemas.openxmlformats.org/officeDocument/2006/relationships" ref="B33" r:id="rId28"/>
    <hyperlink xmlns:r="http://schemas.openxmlformats.org/officeDocument/2006/relationships" ref="B34" r:id="rId29"/>
    <hyperlink xmlns:r="http://schemas.openxmlformats.org/officeDocument/2006/relationships" ref="B35" r:id="rId30"/>
    <hyperlink xmlns:r="http://schemas.openxmlformats.org/officeDocument/2006/relationships" ref="B36" r:id="rId31"/>
    <hyperlink xmlns:r="http://schemas.openxmlformats.org/officeDocument/2006/relationships" ref="B37" r:id="rId32"/>
    <hyperlink xmlns:r="http://schemas.openxmlformats.org/officeDocument/2006/relationships" ref="B38" r:id="rId33"/>
    <hyperlink xmlns:r="http://schemas.openxmlformats.org/officeDocument/2006/relationships" ref="B39" r:id="rId34"/>
    <hyperlink xmlns:r="http://schemas.openxmlformats.org/officeDocument/2006/relationships" ref="B40" r:id="rId35"/>
    <hyperlink xmlns:r="http://schemas.openxmlformats.org/officeDocument/2006/relationships" ref="B41" r:id="rId36"/>
    <hyperlink xmlns:r="http://schemas.openxmlformats.org/officeDocument/2006/relationships" ref="B42" r:id="rId37"/>
    <hyperlink xmlns:r="http://schemas.openxmlformats.org/officeDocument/2006/relationships" ref="B43" r:id="rId38"/>
    <hyperlink xmlns:r="http://schemas.openxmlformats.org/officeDocument/2006/relationships" ref="B44" r:id="rId39"/>
    <hyperlink xmlns:r="http://schemas.openxmlformats.org/officeDocument/2006/relationships" ref="B45" r:id="rId40"/>
    <hyperlink xmlns:r="http://schemas.openxmlformats.org/officeDocument/2006/relationships" ref="B46" r:id="rId41"/>
    <hyperlink xmlns:r="http://schemas.openxmlformats.org/officeDocument/2006/relationships" ref="B47" r:id="rId42"/>
    <hyperlink xmlns:r="http://schemas.openxmlformats.org/officeDocument/2006/relationships" ref="B48" r:id="rId43"/>
    <hyperlink xmlns:r="http://schemas.openxmlformats.org/officeDocument/2006/relationships" ref="B49" r:id="rId44"/>
    <hyperlink xmlns:r="http://schemas.openxmlformats.org/officeDocument/2006/relationships" ref="B50" r:id="rId45"/>
    <hyperlink xmlns:r="http://schemas.openxmlformats.org/officeDocument/2006/relationships" ref="B51" r:id="rId46"/>
    <hyperlink xmlns:r="http://schemas.openxmlformats.org/officeDocument/2006/relationships" ref="B52" r:id="rId47"/>
    <hyperlink xmlns:r="http://schemas.openxmlformats.org/officeDocument/2006/relationships" ref="B53" r:id="rId48"/>
    <hyperlink xmlns:r="http://schemas.openxmlformats.org/officeDocument/2006/relationships" ref="B54" r:id="rId49"/>
    <hyperlink xmlns:r="http://schemas.openxmlformats.org/officeDocument/2006/relationships" ref="B55" r:id="rId50"/>
    <hyperlink xmlns:r="http://schemas.openxmlformats.org/officeDocument/2006/relationships" ref="B56" r:id="rId51"/>
    <hyperlink xmlns:r="http://schemas.openxmlformats.org/officeDocument/2006/relationships" ref="B57" r:id="rId52"/>
    <hyperlink xmlns:r="http://schemas.openxmlformats.org/officeDocument/2006/relationships" ref="B58" r:id="rId53"/>
    <hyperlink xmlns:r="http://schemas.openxmlformats.org/officeDocument/2006/relationships" ref="B59" r:id="rId54"/>
    <hyperlink xmlns:r="http://schemas.openxmlformats.org/officeDocument/2006/relationships" ref="B60" r:id="rId55"/>
    <hyperlink xmlns:r="http://schemas.openxmlformats.org/officeDocument/2006/relationships" ref="B61" r:id="rId56"/>
    <hyperlink xmlns:r="http://schemas.openxmlformats.org/officeDocument/2006/relationships" ref="B62" r:id="rId57"/>
    <hyperlink xmlns:r="http://schemas.openxmlformats.org/officeDocument/2006/relationships" ref="B63" r:id="rId58"/>
    <hyperlink xmlns:r="http://schemas.openxmlformats.org/officeDocument/2006/relationships" ref="B64" r:id="rId59"/>
    <hyperlink xmlns:r="http://schemas.openxmlformats.org/officeDocument/2006/relationships" ref="B65" r:id="rId60"/>
    <hyperlink xmlns:r="http://schemas.openxmlformats.org/officeDocument/2006/relationships" ref="B66" r:id="rId61"/>
    <hyperlink xmlns:r="http://schemas.openxmlformats.org/officeDocument/2006/relationships" ref="B67" r:id="rId62"/>
    <hyperlink xmlns:r="http://schemas.openxmlformats.org/officeDocument/2006/relationships" ref="B68" r:id="rId63"/>
    <hyperlink xmlns:r="http://schemas.openxmlformats.org/officeDocument/2006/relationships" ref="B69" r:id="rId64"/>
    <hyperlink xmlns:r="http://schemas.openxmlformats.org/officeDocument/2006/relationships" ref="B70" r:id="rId65"/>
    <hyperlink xmlns:r="http://schemas.openxmlformats.org/officeDocument/2006/relationships" ref="B71" r:id="rId66"/>
    <hyperlink xmlns:r="http://schemas.openxmlformats.org/officeDocument/2006/relationships" ref="B72" r:id="rId67"/>
    <hyperlink xmlns:r="http://schemas.openxmlformats.org/officeDocument/2006/relationships" ref="B73" r:id="rId6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Estimación de Costos - Plataforma de Atención de Enfermería</dc:title>
  <dcterms:created xmlns:dcterms="http://purl.org/dc/terms/" xmlns:xsi="http://www.w3.org/2001/XMLSchema-instance" xsi:type="dcterms:W3CDTF">2026-10-04T21:21:22Z</dcterms:created>
  <dcterms:modified xmlns:dcterms="http://purl.org/dc/terms/" xmlns:xsi="http://www.w3.org/2001/XMLSchema-instance" xsi:type="dcterms:W3CDTF">2026-10-04T21:21:22Z</dcterms:modified>
  <cp:lastModifiedBy/>
</cp:coreProperties>
</file>